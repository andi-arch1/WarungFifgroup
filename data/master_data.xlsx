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68766\Downloads\"/>
    </mc:Choice>
  </mc:AlternateContent>
  <xr:revisionPtr revIDLastSave="0" documentId="13_ncr:1_{6F52A79D-CE6E-4B9B-96EF-7B05620F6B1B}" xr6:coauthVersionLast="47" xr6:coauthVersionMax="47" xr10:uidLastSave="{00000000-0000-0000-0000-000000000000}"/>
  <bookViews>
    <workbookView xWindow="-108" yWindow="-108" windowWidth="23256" windowHeight="13896" activeTab="2" xr2:uid="{E71C7164-E198-422E-8C3D-C5FE1C326B01}"/>
  </bookViews>
  <sheets>
    <sheet name="lantai3" sheetId="1" r:id="rId1"/>
    <sheet name="lantai8" sheetId="2" r:id="rId2"/>
    <sheet name="lantai9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" i="2"/>
  <c r="E8" i="3" l="1"/>
  <c r="E9" i="3"/>
  <c r="E24" i="3"/>
  <c r="E8" i="2"/>
  <c r="E9" i="2"/>
  <c r="E23" i="2"/>
  <c r="E24" i="2"/>
  <c r="E2" i="2"/>
  <c r="E2" i="1"/>
  <c r="F2" i="1" s="1"/>
  <c r="E8" i="1"/>
  <c r="F8" i="1" s="1"/>
  <c r="E9" i="1"/>
  <c r="F9" i="1" s="1"/>
  <c r="E3" i="1"/>
  <c r="F3" i="1" s="1"/>
  <c r="E4" i="1"/>
  <c r="F4" i="1" s="1"/>
  <c r="E6" i="1"/>
  <c r="F6" i="1" s="1"/>
  <c r="E17" i="1"/>
  <c r="F17" i="1" s="1"/>
  <c r="E18" i="1"/>
  <c r="F18" i="1" s="1"/>
  <c r="E20" i="1"/>
  <c r="F20" i="1" s="1"/>
  <c r="E22" i="1"/>
  <c r="F22" i="1" s="1"/>
  <c r="E24" i="1"/>
  <c r="F24" i="1" s="1"/>
  <c r="E3" i="2"/>
  <c r="E18" i="2"/>
  <c r="E19" i="2"/>
  <c r="E21" i="2"/>
  <c r="E2" i="3"/>
  <c r="E3" i="3"/>
  <c r="E4" i="3"/>
  <c r="E12" i="3"/>
  <c r="E19" i="3"/>
  <c r="E20" i="3"/>
  <c r="E22" i="3"/>
  <c r="E15" i="2" l="1"/>
  <c r="E17" i="2"/>
  <c r="E16" i="2"/>
  <c r="E17" i="3"/>
  <c r="E23" i="1"/>
  <c r="F23" i="1" s="1"/>
  <c r="E16" i="3"/>
  <c r="E18" i="3"/>
  <c r="E15" i="1"/>
  <c r="F15" i="1" s="1"/>
  <c r="E14" i="1"/>
  <c r="F14" i="1" s="1"/>
  <c r="E14" i="2"/>
  <c r="E13" i="2"/>
  <c r="E11" i="2"/>
  <c r="E22" i="2"/>
  <c r="E12" i="1"/>
  <c r="F12" i="1" s="1"/>
  <c r="E10" i="1"/>
  <c r="F10" i="1" s="1"/>
  <c r="E19" i="1"/>
  <c r="F19" i="1" s="1"/>
  <c r="E20" i="2"/>
  <c r="E21" i="3"/>
  <c r="E13" i="1"/>
  <c r="F13" i="1" s="1"/>
  <c r="E11" i="1"/>
  <c r="F11" i="1" s="1"/>
  <c r="E23" i="3"/>
  <c r="E12" i="2"/>
  <c r="E7" i="1"/>
  <c r="F7" i="1" s="1"/>
  <c r="E21" i="1"/>
  <c r="F21" i="1" s="1"/>
  <c r="E16" i="1"/>
  <c r="F16" i="1" s="1"/>
  <c r="E14" i="3"/>
  <c r="E13" i="3"/>
  <c r="E15" i="3"/>
  <c r="E10" i="2"/>
  <c r="E11" i="3"/>
  <c r="E10" i="3"/>
  <c r="E5" i="1"/>
  <c r="F5" i="1" s="1"/>
  <c r="E7" i="2"/>
  <c r="E6" i="2"/>
  <c r="E7" i="3"/>
  <c r="E5" i="2"/>
  <c r="E6" i="3"/>
  <c r="E4" i="2"/>
  <c r="E5" i="3"/>
</calcChain>
</file>

<file path=xl/sharedStrings.xml><?xml version="1.0" encoding="utf-8"?>
<sst xmlns="http://schemas.openxmlformats.org/spreadsheetml/2006/main" count="93" uniqueCount="31">
  <si>
    <t>Tanggal</t>
  </si>
  <si>
    <t>Produk</t>
  </si>
  <si>
    <t>Jumlah</t>
  </si>
  <si>
    <t>Actual</t>
  </si>
  <si>
    <t>Harga Jual</t>
  </si>
  <si>
    <t>Notes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</si>
  <si>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</si>
  <si>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</si>
  <si>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</si>
  <si>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</si>
  <si>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</si>
  <si>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</si>
  <si>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</si>
  <si>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</si>
  <si>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JajanYuk 18</t>
  </si>
  <si>
    <t>JajanYuk 21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</si>
  <si>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</si>
  <si>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</si>
  <si>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</si>
  <si>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</si>
  <si>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</si>
  <si>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</si>
  <si>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</si>
  <si>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</si>
  <si>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</si>
  <si>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</si>
  <si>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</si>
  <si>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PopMie besar</t>
  </si>
  <si>
    <t>YouC</t>
  </si>
  <si>
    <t>lantai</t>
  </si>
  <si>
    <t>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</si>
</sst>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p&quot;#,##0;[Red]\-&quot;Rp&quot;#,##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I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I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I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I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I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I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I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I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I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I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I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I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I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I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I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I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I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I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I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I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I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I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I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I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I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I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I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I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I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I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I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I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I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I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I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I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I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I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I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I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I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I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I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I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I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I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I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I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I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I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I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I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I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I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I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I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I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I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I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I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I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I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I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I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I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I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I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I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I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I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I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I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I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I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I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I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I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I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I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I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I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I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I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I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I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I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I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I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I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I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I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I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I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I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I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I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I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I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I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I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I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I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I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I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I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I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I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I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I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I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I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I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I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I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I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I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I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I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I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I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I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I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I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I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I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I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I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I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I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I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I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I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I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I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I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I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I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I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I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I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I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I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I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I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I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I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I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I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I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I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I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I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I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I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I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I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I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I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I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I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I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I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I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I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I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I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I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I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I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I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I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I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I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I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I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I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I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I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I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I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I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I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I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I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I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I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I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I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I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I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I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I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I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I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I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I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I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I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I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I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I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I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I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I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I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I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I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I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I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I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I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I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I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I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I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I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I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I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I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I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I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I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I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I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I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I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I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I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I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I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I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I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I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I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I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I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I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I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I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I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I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I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I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I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I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I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I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I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I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I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I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I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I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I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I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I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I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I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I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I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I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I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I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I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I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I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I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I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I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I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I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I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I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I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I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I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I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I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I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I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I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I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I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I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I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I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I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I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I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I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I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I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I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I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I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I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I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I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I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I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I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I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I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I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I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I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I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I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I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I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I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I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I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I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I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I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I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I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I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I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I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I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I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I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I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I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I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I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I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I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I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I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I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I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I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I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I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I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I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I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I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I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I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I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I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I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I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I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I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I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I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I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I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I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I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I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I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I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I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I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I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I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I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I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I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I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I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I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I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I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I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I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I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I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I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I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I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I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I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I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I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I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I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I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I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D621C-9723-42D6-9DD6-DD183FBA2982}">
  <dimension ref="A1:H24"/>
  <sheetViews>
    <sheetView zoomScaleNormal="100" workbookViewId="0">
      <selection activeCell="F2" sqref="F2"/>
    </sheetView>
  </sheetViews>
  <sheetFormatPr defaultColWidth="16.77734375" defaultRowHeight="14.4" x14ac:dyDescent="0.3"/>
  <sheetData>
    <row r="1" spans="1:8" ht="43.2" customHeight="1" thickBot="1" x14ac:dyDescent="0.35">
      <c r="A1" s="3" t="s">
        <v>0</v>
      </c>
      <c r="B1" s="3" t="s">
        <v>1</v>
      </c>
      <c r="C1" s="3" t="s">
        <v>29</v>
      </c>
      <c r="D1" s="3" t="s">
        <v>2</v>
      </c>
      <c r="E1" s="3" t="s">
        <v>3</v>
      </c>
      <c r="F1" s="3" t="s">
        <v>30</v>
      </c>
      <c r="G1" s="3" t="s">
        <v>4</v>
      </c>
      <c r="H1" s="3" t="s">
        <v>5</v>
      </c>
    </row>
    <row r="2" spans="1:8" ht="15" thickBot="1" x14ac:dyDescent="0.35">
      <c r="A2" s="2">
        <v>46154</v>
      </c>
      <c r="B2" s="1" t="s">
        <v>6</v>
      </c>
      <c r="C2" s="4">
        <v>3</v>
      </c>
      <c r="D2" s="4">
        <v>5</v>
      </c>
      <c r="E2" s="4">
        <f>SUMIFS('[1]SO Warung'!$I:$I,'[1]SO Warung'!$A:$A,A2,'[1]SO Warung'!$B:$B,B2,'[1]SO Warung'!$D:$D,C2)</f>
        <v>4</v>
      </c>
      <c r="F2" s="4">
        <f>D2-E2</f>
        <v>1</v>
      </c>
      <c r="G2" s="6">
        <v>35000</v>
      </c>
      <c r="H2" s="1"/>
    </row>
    <row r="3" spans="1:8" ht="15" thickBot="1" x14ac:dyDescent="0.35">
      <c r="A3" s="2">
        <v>46154</v>
      </c>
      <c r="B3" s="1" t="s">
        <v>7</v>
      </c>
      <c r="C3" s="4">
        <v>3</v>
      </c>
      <c r="D3" s="4">
        <v>6</v>
      </c>
      <c r="E3" s="4">
        <f>SUMIFS('[1]SO Warung'!$I:$I,'[1]SO Warung'!$A:$A,A3,'[1]SO Warung'!$B:$B,B3,'[1]SO Warung'!$D:$D,C3)</f>
        <v>6</v>
      </c>
      <c r="F3" s="4">
        <f t="shared" ref="F3:F24" si="0">D3-E3</f>
        <v>0</v>
      </c>
      <c r="G3" s="6">
        <v>23000</v>
      </c>
      <c r="H3" s="1"/>
    </row>
    <row r="4" spans="1:8" ht="15" thickBot="1" x14ac:dyDescent="0.35">
      <c r="A4" s="2">
        <v>46154</v>
      </c>
      <c r="B4" s="1" t="s">
        <v>8</v>
      </c>
      <c r="C4" s="4">
        <v>3</v>
      </c>
      <c r="D4" s="4">
        <v>2</v>
      </c>
      <c r="E4" s="4">
        <f>SUMIFS('[1]SO Warung'!$I:$I,'[1]SO Warung'!$A:$A,A4,'[1]SO Warung'!$B:$B,B4,'[1]SO Warung'!$D:$D,C4)</f>
        <v>-1</v>
      </c>
      <c r="F4" s="4">
        <f t="shared" si="0"/>
        <v>3</v>
      </c>
      <c r="G4" s="6">
        <v>21000</v>
      </c>
      <c r="H4" s="1"/>
    </row>
    <row r="5" spans="1:8" ht="27.6" thickBot="1" x14ac:dyDescent="0.35">
      <c r="A5" s="2">
        <v>46154</v>
      </c>
      <c r="B5" s="1" t="s">
        <v>9</v>
      </c>
      <c r="C5" s="4">
        <v>3</v>
      </c>
      <c r="D5" s="4">
        <v>3</v>
      </c>
      <c r="E5" s="4">
        <f>SUMIFS('[1]SO Warung'!$I:$I,'[1]SO Warung'!$A:$A,A5,'[1]SO Warung'!$B:$B,B5,'[1]SO Warung'!$D:$D,C5)</f>
        <v>-2</v>
      </c>
      <c r="F5" s="4">
        <f t="shared" si="0"/>
        <v>5</v>
      </c>
      <c r="G5" s="6">
        <v>36000</v>
      </c>
      <c r="H5" s="1"/>
    </row>
    <row r="6" spans="1:8" ht="15" thickBot="1" x14ac:dyDescent="0.35">
      <c r="A6" s="2">
        <v>46154</v>
      </c>
      <c r="B6" s="1" t="s">
        <v>10</v>
      </c>
      <c r="C6" s="4">
        <v>3</v>
      </c>
      <c r="D6" s="4">
        <v>5</v>
      </c>
      <c r="E6" s="4">
        <f>SUMIFS('[1]SO Warung'!$I:$I,'[1]SO Warung'!$A:$A,A6,'[1]SO Warung'!$B:$B,B6,'[1]SO Warung'!$D:$D,C6)</f>
        <v>3</v>
      </c>
      <c r="F6" s="4">
        <f t="shared" si="0"/>
        <v>2</v>
      </c>
      <c r="G6" s="6">
        <v>23000</v>
      </c>
      <c r="H6" s="1"/>
    </row>
    <row r="7" spans="1:8" ht="15" thickBot="1" x14ac:dyDescent="0.35">
      <c r="A7" s="2">
        <v>46154</v>
      </c>
      <c r="B7" s="1" t="s">
        <v>11</v>
      </c>
      <c r="C7" s="4">
        <v>3</v>
      </c>
      <c r="D7" s="4">
        <v>6</v>
      </c>
      <c r="E7" s="4">
        <f>SUMIFS('[1]SO Warung'!$I:$I,'[1]SO Warung'!$A:$A,A7,'[1]SO Warung'!$B:$B,B7,'[1]SO Warung'!$D:$D,C7)</f>
        <v>0</v>
      </c>
      <c r="F7" s="4">
        <f t="shared" si="0"/>
        <v>6</v>
      </c>
      <c r="G7" s="6">
        <v>15000</v>
      </c>
      <c r="H7" s="1"/>
    </row>
    <row r="8" spans="1:8" ht="15" thickBot="1" x14ac:dyDescent="0.35">
      <c r="A8" s="2">
        <v>46154</v>
      </c>
      <c r="B8" s="1" t="s">
        <v>12</v>
      </c>
      <c r="C8" s="4">
        <v>3</v>
      </c>
      <c r="D8" s="4">
        <v>6</v>
      </c>
      <c r="E8" s="4">
        <f>SUMIFS('[1]SO Warung'!$I:$I,'[1]SO Warung'!$A:$A,A8,'[1]SO Warung'!$B:$B,B8,'[1]SO Warung'!$D:$D,C8)</f>
        <v>0</v>
      </c>
      <c r="F8" s="4">
        <f t="shared" si="0"/>
        <v>6</v>
      </c>
      <c r="G8" s="6">
        <v>18000</v>
      </c>
      <c r="H8" s="1"/>
    </row>
    <row r="9" spans="1:8" ht="15" thickBot="1" x14ac:dyDescent="0.35">
      <c r="A9" s="2">
        <v>46154</v>
      </c>
      <c r="B9" s="1" t="s">
        <v>13</v>
      </c>
      <c r="C9" s="4">
        <v>3</v>
      </c>
      <c r="D9" s="4">
        <v>2</v>
      </c>
      <c r="E9" s="4">
        <f>SUMIFS('[1]SO Warung'!$I:$I,'[1]SO Warung'!$A:$A,A9,'[1]SO Warung'!$B:$B,B9,'[1]SO Warung'!$D:$D,C9)</f>
        <v>0</v>
      </c>
      <c r="F9" s="4">
        <f t="shared" si="0"/>
        <v>2</v>
      </c>
      <c r="G9" s="6">
        <v>21000</v>
      </c>
      <c r="H9" s="1"/>
    </row>
    <row r="10" spans="1:8" ht="15" thickBot="1" x14ac:dyDescent="0.35">
      <c r="A10" s="2">
        <v>46154</v>
      </c>
      <c r="B10" s="1" t="s">
        <v>14</v>
      </c>
      <c r="C10" s="4">
        <v>3</v>
      </c>
      <c r="D10" s="4">
        <v>4</v>
      </c>
      <c r="E10" s="4">
        <f>SUMIFS('[1]SO Warung'!$I:$I,'[1]SO Warung'!$A:$A,A10,'[1]SO Warung'!$B:$B,B10,'[1]SO Warung'!$D:$D,C10)</f>
        <v>-2</v>
      </c>
      <c r="F10" s="4">
        <f t="shared" si="0"/>
        <v>6</v>
      </c>
      <c r="G10" s="6">
        <v>18000</v>
      </c>
      <c r="H10" s="1"/>
    </row>
    <row r="11" spans="1:8" ht="15" thickBot="1" x14ac:dyDescent="0.35">
      <c r="A11" s="2">
        <v>46154</v>
      </c>
      <c r="B11" s="1" t="s">
        <v>15</v>
      </c>
      <c r="C11" s="4">
        <v>3</v>
      </c>
      <c r="D11" s="4">
        <v>3</v>
      </c>
      <c r="E11" s="4">
        <f>SUMIFS('[1]SO Warung'!$I:$I,'[1]SO Warung'!$A:$A,A11,'[1]SO Warung'!$B:$B,B11,'[1]SO Warung'!$D:$D,C11)</f>
        <v>1</v>
      </c>
      <c r="F11" s="4">
        <f t="shared" si="0"/>
        <v>2</v>
      </c>
      <c r="G11" s="6">
        <v>21000</v>
      </c>
      <c r="H11" s="1"/>
    </row>
    <row r="12" spans="1:8" ht="15" thickBot="1" x14ac:dyDescent="0.35">
      <c r="A12" s="2">
        <v>46154</v>
      </c>
      <c r="B12" s="1" t="s">
        <v>16</v>
      </c>
      <c r="C12" s="4">
        <v>3</v>
      </c>
      <c r="D12" s="4">
        <v>2</v>
      </c>
      <c r="E12" s="4">
        <f>SUMIFS('[1]SO Warung'!$I:$I,'[1]SO Warung'!$A:$A,A12,'[1]SO Warung'!$B:$B,B12,'[1]SO Warung'!$D:$D,C12)</f>
        <v>1</v>
      </c>
      <c r="F12" s="4">
        <f t="shared" si="0"/>
        <v>1</v>
      </c>
      <c r="G12" s="6">
        <v>35000</v>
      </c>
      <c r="H12" s="1"/>
    </row>
    <row r="13" spans="1:8" ht="15" thickBot="1" x14ac:dyDescent="0.35">
      <c r="A13" s="2">
        <v>46154</v>
      </c>
      <c r="B13" s="1" t="s">
        <v>17</v>
      </c>
      <c r="C13" s="4">
        <v>3</v>
      </c>
      <c r="D13" s="4">
        <v>4</v>
      </c>
      <c r="E13" s="4">
        <f>SUMIFS('[1]SO Warung'!$I:$I,'[1]SO Warung'!$A:$A,A13,'[1]SO Warung'!$B:$B,B13,'[1]SO Warung'!$D:$D,C13)</f>
        <v>2</v>
      </c>
      <c r="F13" s="4">
        <f t="shared" si="0"/>
        <v>2</v>
      </c>
      <c r="G13" s="6">
        <v>40000</v>
      </c>
      <c r="H13" s="1"/>
    </row>
    <row r="14" spans="1:8" ht="15" thickBot="1" x14ac:dyDescent="0.35">
      <c r="A14" s="2">
        <v>46154</v>
      </c>
      <c r="B14" s="1" t="s">
        <v>18</v>
      </c>
      <c r="C14" s="4">
        <v>3</v>
      </c>
      <c r="D14" s="4">
        <v>12</v>
      </c>
      <c r="E14" s="4">
        <f>SUMIFS('[1]SO Warung'!$I:$I,'[1]SO Warung'!$A:$A,A14,'[1]SO Warung'!$B:$B,B14,'[1]SO Warung'!$D:$D,C14)</f>
        <v>0</v>
      </c>
      <c r="F14" s="4">
        <f t="shared" si="0"/>
        <v>12</v>
      </c>
      <c r="G14" s="6">
        <v>2500</v>
      </c>
      <c r="H14" s="1"/>
    </row>
    <row r="15" spans="1:8" ht="15" thickBot="1" x14ac:dyDescent="0.35">
      <c r="A15" s="2">
        <v>46154</v>
      </c>
      <c r="B15" s="1" t="s">
        <v>19</v>
      </c>
      <c r="C15" s="4">
        <v>3</v>
      </c>
      <c r="D15" s="4">
        <v>10</v>
      </c>
      <c r="E15" s="4">
        <f>SUMIFS('[1]SO Warung'!$I:$I,'[1]SO Warung'!$A:$A,A15,'[1]SO Warung'!$B:$B,B15,'[1]SO Warung'!$D:$D,C15)</f>
        <v>10</v>
      </c>
      <c r="F15" s="4">
        <f t="shared" si="0"/>
        <v>0</v>
      </c>
      <c r="G15" s="6">
        <v>2000</v>
      </c>
      <c r="H15" s="1"/>
    </row>
    <row r="16" spans="1:8" ht="15" thickBot="1" x14ac:dyDescent="0.35">
      <c r="A16" s="2">
        <v>46154</v>
      </c>
      <c r="B16" s="1" t="s">
        <v>20</v>
      </c>
      <c r="C16" s="4">
        <v>3</v>
      </c>
      <c r="D16" s="4">
        <v>10</v>
      </c>
      <c r="E16" s="4">
        <f>SUMIFS('[1]SO Warung'!$I:$I,'[1]SO Warung'!$A:$A,A16,'[1]SO Warung'!$B:$B,B16,'[1]SO Warung'!$D:$D,C16)</f>
        <v>4</v>
      </c>
      <c r="F16" s="4">
        <f t="shared" si="0"/>
        <v>6</v>
      </c>
      <c r="G16" s="6">
        <v>2500</v>
      </c>
      <c r="H16" s="1"/>
    </row>
    <row r="17" spans="1:8" ht="15" thickBot="1" x14ac:dyDescent="0.35">
      <c r="A17" s="2">
        <v>46154</v>
      </c>
      <c r="B17" s="1" t="s">
        <v>21</v>
      </c>
      <c r="C17" s="4">
        <v>3</v>
      </c>
      <c r="D17" s="4">
        <v>15</v>
      </c>
      <c r="E17" s="4">
        <f>SUMIFS('[1]SO Warung'!$I:$I,'[1]SO Warung'!$A:$A,A17,'[1]SO Warung'!$B:$B,B17,'[1]SO Warung'!$D:$D,C17)</f>
        <v>3</v>
      </c>
      <c r="F17" s="4">
        <f t="shared" si="0"/>
        <v>12</v>
      </c>
      <c r="G17" s="6">
        <v>10000</v>
      </c>
      <c r="H17" s="1"/>
    </row>
    <row r="18" spans="1:8" ht="15" thickBot="1" x14ac:dyDescent="0.35">
      <c r="A18" s="2">
        <v>46154</v>
      </c>
      <c r="B18" s="1" t="s">
        <v>22</v>
      </c>
      <c r="C18" s="4">
        <v>3</v>
      </c>
      <c r="D18" s="4">
        <v>10</v>
      </c>
      <c r="E18" s="4">
        <f>SUMIFS('[1]SO Warung'!$I:$I,'[1]SO Warung'!$A:$A,A18,'[1]SO Warung'!$B:$B,B18,'[1]SO Warung'!$D:$D,C18)</f>
        <v>0</v>
      </c>
      <c r="F18" s="4">
        <f t="shared" si="0"/>
        <v>10</v>
      </c>
      <c r="G18" s="6">
        <v>15000</v>
      </c>
      <c r="H18" s="1"/>
    </row>
    <row r="19" spans="1:8" ht="15" thickBot="1" x14ac:dyDescent="0.35">
      <c r="A19" s="2">
        <v>46154</v>
      </c>
      <c r="B19" s="1" t="s">
        <v>23</v>
      </c>
      <c r="C19" s="4">
        <v>3</v>
      </c>
      <c r="D19" s="4">
        <v>7</v>
      </c>
      <c r="E19" s="4">
        <f>SUMIFS('[1]SO Warung'!$I:$I,'[1]SO Warung'!$A:$A,A19,'[1]SO Warung'!$B:$B,B19,'[1]SO Warung'!$D:$D,C19)</f>
        <v>-3</v>
      </c>
      <c r="F19" s="4">
        <f t="shared" si="0"/>
        <v>10</v>
      </c>
      <c r="G19" s="6">
        <v>23000</v>
      </c>
      <c r="H19" s="1"/>
    </row>
    <row r="20" spans="1:8" ht="15" thickBot="1" x14ac:dyDescent="0.35">
      <c r="A20" s="2">
        <v>46154</v>
      </c>
      <c r="B20" s="1" t="s">
        <v>24</v>
      </c>
      <c r="C20" s="4">
        <v>3</v>
      </c>
      <c r="D20" s="4">
        <v>8</v>
      </c>
      <c r="E20" s="4">
        <f>SUMIFS('[1]SO Warung'!$I:$I,'[1]SO Warung'!$A:$A,A20,'[1]SO Warung'!$B:$B,B20,'[1]SO Warung'!$D:$D,C20)</f>
        <v>0</v>
      </c>
      <c r="F20" s="4">
        <f t="shared" si="0"/>
        <v>8</v>
      </c>
      <c r="G20" s="6">
        <v>11000</v>
      </c>
      <c r="H20" s="1"/>
    </row>
    <row r="21" spans="1:8" ht="15" thickBot="1" x14ac:dyDescent="0.35">
      <c r="A21" s="2">
        <v>46154</v>
      </c>
      <c r="B21" s="1" t="s">
        <v>25</v>
      </c>
      <c r="C21" s="4">
        <v>3</v>
      </c>
      <c r="D21" s="4">
        <v>6</v>
      </c>
      <c r="E21" s="4">
        <f>SUMIFS('[1]SO Warung'!$I:$I,'[1]SO Warung'!$A:$A,A21,'[1]SO Warung'!$B:$B,B21,'[1]SO Warung'!$D:$D,C21)</f>
        <v>-1</v>
      </c>
      <c r="F21" s="4">
        <f t="shared" si="0"/>
        <v>7</v>
      </c>
      <c r="G21" s="6">
        <v>14500</v>
      </c>
      <c r="H21" s="1"/>
    </row>
    <row r="22" spans="1:8" ht="15" thickBot="1" x14ac:dyDescent="0.35">
      <c r="A22" s="2">
        <v>46154</v>
      </c>
      <c r="B22" s="1" t="s">
        <v>26</v>
      </c>
      <c r="C22" s="4">
        <v>3</v>
      </c>
      <c r="D22" s="4">
        <v>20</v>
      </c>
      <c r="E22" s="4">
        <f>SUMIFS('[1]SO Warung'!$I:$I,'[1]SO Warung'!$A:$A,A22,'[1]SO Warung'!$B:$B,B22,'[1]SO Warung'!$D:$D,C22)</f>
        <v>13</v>
      </c>
      <c r="F22" s="4">
        <f t="shared" si="0"/>
        <v>7</v>
      </c>
      <c r="G22" s="6">
        <v>3500</v>
      </c>
      <c r="H22" s="1"/>
    </row>
    <row r="23" spans="1:8" ht="15" thickBot="1" x14ac:dyDescent="0.35">
      <c r="A23" s="2">
        <v>46154</v>
      </c>
      <c r="B23" s="1" t="s">
        <v>27</v>
      </c>
      <c r="C23" s="4">
        <v>3</v>
      </c>
      <c r="D23" s="4">
        <v>8</v>
      </c>
      <c r="E23" s="4">
        <f>SUMIFS('[1]SO Warung'!$I:$I,'[1]SO Warung'!$A:$A,A23,'[1]SO Warung'!$B:$B,B23,'[1]SO Warung'!$D:$D,C23)</f>
        <v>0</v>
      </c>
      <c r="F23" s="4">
        <f t="shared" si="0"/>
        <v>8</v>
      </c>
      <c r="G23" s="6">
        <v>5500</v>
      </c>
      <c r="H23" s="1"/>
    </row>
    <row r="24" spans="1:8" ht="15" thickBot="1" x14ac:dyDescent="0.35">
      <c r="A24" s="2">
        <v>46154</v>
      </c>
      <c r="B24" s="1" t="s">
        <v>28</v>
      </c>
      <c r="C24" s="4">
        <v>3</v>
      </c>
      <c r="D24" s="4">
        <v>3</v>
      </c>
      <c r="E24" s="4">
        <f>SUMIFS('[1]SO Warung'!$I:$I,'[1]SO Warung'!$A:$A,A24,'[1]SO Warung'!$B:$B,B24,'[1]SO Warung'!$D:$D,C24)</f>
        <v>-1</v>
      </c>
      <c r="F24" s="4">
        <f t="shared" si="0"/>
        <v>4</v>
      </c>
      <c r="G24" s="6">
        <v>9000</v>
      </c>
      <c r="H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81ECA-A7E4-405E-8E37-17F94A153613}">
  <dimension ref="A1:H24"/>
  <sheetViews>
    <sheetView workbookViewId="0">
      <selection activeCell="F2" sqref="F2:F24"/>
    </sheetView>
  </sheetViews>
  <sheetFormatPr defaultColWidth="18.5546875" defaultRowHeight="14.4" x14ac:dyDescent="0.3"/>
  <sheetData>
    <row r="1" spans="1:8" ht="15" thickBot="1" x14ac:dyDescent="0.35">
      <c r="A1" s="3" t="s">
        <v>0</v>
      </c>
      <c r="B1" s="3" t="s">
        <v>1</v>
      </c>
      <c r="C1" s="3" t="s">
        <v>29</v>
      </c>
      <c r="D1" s="3" t="s">
        <v>2</v>
      </c>
      <c r="E1" s="3" t="s">
        <v>3</v>
      </c>
      <c r="F1" s="3" t="s">
        <v>30</v>
      </c>
      <c r="G1" s="3" t="s">
        <v>4</v>
      </c>
      <c r="H1" s="3" t="s">
        <v>5</v>
      </c>
    </row>
    <row r="2" spans="1:8" ht="15" thickBot="1" x14ac:dyDescent="0.35">
      <c r="A2" s="2">
        <v>46154</v>
      </c>
      <c r="B2" s="1" t="s">
        <v>6</v>
      </c>
      <c r="C2" s="4">
        <v>8</v>
      </c>
      <c r="D2" s="4">
        <v>5</v>
      </c>
      <c r="E2" s="5">
        <f>SUMIFS('[1]SO Warung'!$I:$I,'[1]SO Warung'!$A:$A,A2,'[1]SO Warung'!$B:$B,B2,'[1]SO Warung'!$D:$D,C2)</f>
        <v>0</v>
      </c>
      <c r="F2" s="5">
        <f>D2-E2</f>
        <v>5</v>
      </c>
      <c r="G2" s="6">
        <v>35000</v>
      </c>
      <c r="H2" s="1"/>
    </row>
    <row r="3" spans="1:8" ht="15" thickBot="1" x14ac:dyDescent="0.35">
      <c r="A3" s="2">
        <v>46154</v>
      </c>
      <c r="B3" s="1" t="s">
        <v>7</v>
      </c>
      <c r="C3" s="4">
        <v>8</v>
      </c>
      <c r="D3" s="4">
        <v>6</v>
      </c>
      <c r="E3" s="5">
        <f>SUMIFS('[1]SO Warung'!$I:$I,'[1]SO Warung'!$A:$A,A3,'[1]SO Warung'!$B:$B,B3,'[1]SO Warung'!$D:$D,C3)</f>
        <v>5</v>
      </c>
      <c r="F3" s="5">
        <f t="shared" ref="F3:F24" si="0">D3-E3</f>
        <v>1</v>
      </c>
      <c r="G3" s="6">
        <v>23000</v>
      </c>
      <c r="H3" s="1"/>
    </row>
    <row r="4" spans="1:8" ht="15" thickBot="1" x14ac:dyDescent="0.35">
      <c r="A4" s="2">
        <v>46154</v>
      </c>
      <c r="B4" s="1" t="s">
        <v>8</v>
      </c>
      <c r="C4" s="4">
        <v>8</v>
      </c>
      <c r="D4" s="4">
        <v>2</v>
      </c>
      <c r="E4" s="5">
        <f>SUMIFS('[1]SO Warung'!$I:$I,'[1]SO Warung'!$A:$A,A4,'[1]SO Warung'!$B:$B,B4,'[1]SO Warung'!$D:$D,C4)</f>
        <v>0</v>
      </c>
      <c r="F4" s="5">
        <f t="shared" si="0"/>
        <v>2</v>
      </c>
      <c r="G4" s="6">
        <v>21000</v>
      </c>
      <c r="H4" s="1"/>
    </row>
    <row r="5" spans="1:8" ht="27.6" thickBot="1" x14ac:dyDescent="0.35">
      <c r="A5" s="2">
        <v>46154</v>
      </c>
      <c r="B5" s="1" t="s">
        <v>9</v>
      </c>
      <c r="C5" s="4">
        <v>8</v>
      </c>
      <c r="D5" s="4">
        <v>3</v>
      </c>
      <c r="E5" s="5">
        <f>SUMIFS('[1]SO Warung'!$I:$I,'[1]SO Warung'!$A:$A,A5,'[1]SO Warung'!$B:$B,B5,'[1]SO Warung'!$D:$D,C5)</f>
        <v>0</v>
      </c>
      <c r="F5" s="5">
        <f t="shared" si="0"/>
        <v>3</v>
      </c>
      <c r="G5" s="6">
        <v>36000</v>
      </c>
      <c r="H5" s="1"/>
    </row>
    <row r="6" spans="1:8" ht="15" thickBot="1" x14ac:dyDescent="0.35">
      <c r="A6" s="2">
        <v>46154</v>
      </c>
      <c r="B6" s="1" t="s">
        <v>10</v>
      </c>
      <c r="C6" s="4">
        <v>8</v>
      </c>
      <c r="D6" s="4">
        <v>5</v>
      </c>
      <c r="E6" s="5">
        <f>SUMIFS('[1]SO Warung'!$I:$I,'[1]SO Warung'!$A:$A,A6,'[1]SO Warung'!$B:$B,B6,'[1]SO Warung'!$D:$D,C6)</f>
        <v>1</v>
      </c>
      <c r="F6" s="5">
        <f t="shared" si="0"/>
        <v>4</v>
      </c>
      <c r="G6" s="6">
        <v>23000</v>
      </c>
      <c r="H6" s="1"/>
    </row>
    <row r="7" spans="1:8" ht="15" thickBot="1" x14ac:dyDescent="0.35">
      <c r="A7" s="2">
        <v>46154</v>
      </c>
      <c r="B7" s="1" t="s">
        <v>11</v>
      </c>
      <c r="C7" s="4">
        <v>8</v>
      </c>
      <c r="D7" s="4">
        <v>6</v>
      </c>
      <c r="E7" s="5">
        <f>SUMIFS('[1]SO Warung'!$I:$I,'[1]SO Warung'!$A:$A,A7,'[1]SO Warung'!$B:$B,B7,'[1]SO Warung'!$D:$D,C7)</f>
        <v>1</v>
      </c>
      <c r="F7" s="5">
        <f t="shared" si="0"/>
        <v>5</v>
      </c>
      <c r="G7" s="6">
        <v>15000</v>
      </c>
      <c r="H7" s="1"/>
    </row>
    <row r="8" spans="1:8" ht="15" thickBot="1" x14ac:dyDescent="0.35">
      <c r="A8" s="2">
        <v>46154</v>
      </c>
      <c r="B8" s="1" t="s">
        <v>12</v>
      </c>
      <c r="C8" s="4">
        <v>8</v>
      </c>
      <c r="D8" s="4">
        <v>6</v>
      </c>
      <c r="E8" s="5">
        <f>SUMIFS('[1]SO Warung'!$I:$I,'[1]SO Warung'!$A:$A,A8,'[1]SO Warung'!$B:$B,B8,'[1]SO Warung'!$D:$D,C8)</f>
        <v>0</v>
      </c>
      <c r="F8" s="5">
        <f t="shared" si="0"/>
        <v>6</v>
      </c>
      <c r="G8" s="6">
        <v>18000</v>
      </c>
      <c r="H8" s="1"/>
    </row>
    <row r="9" spans="1:8" ht="15" thickBot="1" x14ac:dyDescent="0.35">
      <c r="A9" s="2">
        <v>46154</v>
      </c>
      <c r="B9" s="1" t="s">
        <v>13</v>
      </c>
      <c r="C9" s="4">
        <v>8</v>
      </c>
      <c r="D9" s="4">
        <v>2</v>
      </c>
      <c r="E9" s="5">
        <f>SUMIFS('[1]SO Warung'!$I:$I,'[1]SO Warung'!$A:$A,A9,'[1]SO Warung'!$B:$B,B9,'[1]SO Warung'!$D:$D,C9)</f>
        <v>0</v>
      </c>
      <c r="F9" s="5">
        <f t="shared" si="0"/>
        <v>2</v>
      </c>
      <c r="G9" s="6">
        <v>21000</v>
      </c>
      <c r="H9" s="1"/>
    </row>
    <row r="10" spans="1:8" ht="15" thickBot="1" x14ac:dyDescent="0.35">
      <c r="A10" s="2">
        <v>46154</v>
      </c>
      <c r="B10" s="1" t="s">
        <v>14</v>
      </c>
      <c r="C10" s="4">
        <v>8</v>
      </c>
      <c r="D10" s="4">
        <v>4</v>
      </c>
      <c r="E10" s="5">
        <f>SUMIFS('[1]SO Warung'!$I:$I,'[1]SO Warung'!$A:$A,A10,'[1]SO Warung'!$B:$B,B10,'[1]SO Warung'!$D:$D,C10)</f>
        <v>0</v>
      </c>
      <c r="F10" s="5">
        <f t="shared" si="0"/>
        <v>4</v>
      </c>
      <c r="G10" s="6">
        <v>18000</v>
      </c>
      <c r="H10" s="1"/>
    </row>
    <row r="11" spans="1:8" ht="15" thickBot="1" x14ac:dyDescent="0.35">
      <c r="A11" s="2">
        <v>46154</v>
      </c>
      <c r="B11" s="1" t="s">
        <v>15</v>
      </c>
      <c r="C11" s="4">
        <v>8</v>
      </c>
      <c r="D11" s="4">
        <v>3</v>
      </c>
      <c r="E11" s="5">
        <f>SUMIFS('[1]SO Warung'!$I:$I,'[1]SO Warung'!$A:$A,A11,'[1]SO Warung'!$B:$B,B11,'[1]SO Warung'!$D:$D,C11)</f>
        <v>3</v>
      </c>
      <c r="F11" s="5">
        <f t="shared" si="0"/>
        <v>0</v>
      </c>
      <c r="G11" s="6">
        <v>21000</v>
      </c>
      <c r="H11" s="1"/>
    </row>
    <row r="12" spans="1:8" ht="15" thickBot="1" x14ac:dyDescent="0.35">
      <c r="A12" s="2">
        <v>46154</v>
      </c>
      <c r="B12" s="1" t="s">
        <v>16</v>
      </c>
      <c r="C12" s="4">
        <v>8</v>
      </c>
      <c r="D12" s="4">
        <v>2</v>
      </c>
      <c r="E12" s="5">
        <f>SUMIFS('[1]SO Warung'!$I:$I,'[1]SO Warung'!$A:$A,A12,'[1]SO Warung'!$B:$B,B12,'[1]SO Warung'!$D:$D,C12)</f>
        <v>0</v>
      </c>
      <c r="F12" s="5">
        <f t="shared" si="0"/>
        <v>2</v>
      </c>
      <c r="G12" s="6">
        <v>35000</v>
      </c>
      <c r="H12" s="1"/>
    </row>
    <row r="13" spans="1:8" ht="15" thickBot="1" x14ac:dyDescent="0.35">
      <c r="A13" s="2">
        <v>46154</v>
      </c>
      <c r="B13" s="1" t="s">
        <v>17</v>
      </c>
      <c r="C13" s="4">
        <v>8</v>
      </c>
      <c r="D13" s="4">
        <v>4</v>
      </c>
      <c r="E13" s="5">
        <f>SUMIFS('[1]SO Warung'!$I:$I,'[1]SO Warung'!$A:$A,A13,'[1]SO Warung'!$B:$B,B13,'[1]SO Warung'!$D:$D,C13)</f>
        <v>2</v>
      </c>
      <c r="F13" s="5">
        <f t="shared" si="0"/>
        <v>2</v>
      </c>
      <c r="G13" s="6">
        <v>40000</v>
      </c>
      <c r="H13" s="1"/>
    </row>
    <row r="14" spans="1:8" ht="15" thickBot="1" x14ac:dyDescent="0.35">
      <c r="A14" s="2">
        <v>46154</v>
      </c>
      <c r="B14" s="1" t="s">
        <v>18</v>
      </c>
      <c r="C14" s="4">
        <v>8</v>
      </c>
      <c r="D14" s="4">
        <v>12</v>
      </c>
      <c r="E14" s="5">
        <f>SUMIFS('[1]SO Warung'!$I:$I,'[1]SO Warung'!$A:$A,A14,'[1]SO Warung'!$B:$B,B14,'[1]SO Warung'!$D:$D,C14)</f>
        <v>1</v>
      </c>
      <c r="F14" s="5">
        <f t="shared" si="0"/>
        <v>11</v>
      </c>
      <c r="G14" s="6">
        <v>2500</v>
      </c>
      <c r="H14" s="1"/>
    </row>
    <row r="15" spans="1:8" ht="15" thickBot="1" x14ac:dyDescent="0.35">
      <c r="A15" s="2">
        <v>46154</v>
      </c>
      <c r="B15" s="1" t="s">
        <v>19</v>
      </c>
      <c r="C15" s="4">
        <v>8</v>
      </c>
      <c r="D15" s="4">
        <v>10</v>
      </c>
      <c r="E15" s="5">
        <f>SUMIFS('[1]SO Warung'!$I:$I,'[1]SO Warung'!$A:$A,A15,'[1]SO Warung'!$B:$B,B15,'[1]SO Warung'!$D:$D,C15)</f>
        <v>1</v>
      </c>
      <c r="F15" s="5">
        <f t="shared" si="0"/>
        <v>9</v>
      </c>
      <c r="G15" s="6">
        <v>2000</v>
      </c>
      <c r="H15" s="1"/>
    </row>
    <row r="16" spans="1:8" ht="15" thickBot="1" x14ac:dyDescent="0.35">
      <c r="A16" s="2">
        <v>46154</v>
      </c>
      <c r="B16" s="1" t="s">
        <v>20</v>
      </c>
      <c r="C16" s="4">
        <v>8</v>
      </c>
      <c r="D16" s="4">
        <v>10</v>
      </c>
      <c r="E16" s="5">
        <f>SUMIFS('[1]SO Warung'!$I:$I,'[1]SO Warung'!$A:$A,A16,'[1]SO Warung'!$B:$B,B16,'[1]SO Warung'!$D:$D,C16)</f>
        <v>2</v>
      </c>
      <c r="F16" s="5">
        <f t="shared" si="0"/>
        <v>8</v>
      </c>
      <c r="G16" s="6">
        <v>2500</v>
      </c>
      <c r="H16" s="1"/>
    </row>
    <row r="17" spans="1:8" ht="15" thickBot="1" x14ac:dyDescent="0.35">
      <c r="A17" s="2">
        <v>46154</v>
      </c>
      <c r="B17" s="1" t="s">
        <v>21</v>
      </c>
      <c r="C17" s="4">
        <v>8</v>
      </c>
      <c r="D17" s="4">
        <v>15</v>
      </c>
      <c r="E17" s="5">
        <f>SUMIFS('[1]SO Warung'!$I:$I,'[1]SO Warung'!$A:$A,A17,'[1]SO Warung'!$B:$B,B17,'[1]SO Warung'!$D:$D,C17)</f>
        <v>4</v>
      </c>
      <c r="F17" s="5">
        <f t="shared" si="0"/>
        <v>11</v>
      </c>
      <c r="G17" s="6">
        <v>10000</v>
      </c>
      <c r="H17" s="1"/>
    </row>
    <row r="18" spans="1:8" ht="15" thickBot="1" x14ac:dyDescent="0.35">
      <c r="A18" s="2">
        <v>46154</v>
      </c>
      <c r="B18" s="1" t="s">
        <v>22</v>
      </c>
      <c r="C18" s="4">
        <v>8</v>
      </c>
      <c r="D18" s="4">
        <v>10</v>
      </c>
      <c r="E18" s="5">
        <f>SUMIFS('[1]SO Warung'!$I:$I,'[1]SO Warung'!$A:$A,A18,'[1]SO Warung'!$B:$B,B18,'[1]SO Warung'!$D:$D,C18)</f>
        <v>3</v>
      </c>
      <c r="F18" s="5">
        <f t="shared" si="0"/>
        <v>7</v>
      </c>
      <c r="G18" s="6">
        <v>15000</v>
      </c>
      <c r="H18" s="1"/>
    </row>
    <row r="19" spans="1:8" ht="15" thickBot="1" x14ac:dyDescent="0.35">
      <c r="A19" s="2">
        <v>46154</v>
      </c>
      <c r="B19" s="1" t="s">
        <v>23</v>
      </c>
      <c r="C19" s="4">
        <v>8</v>
      </c>
      <c r="D19" s="4">
        <v>7</v>
      </c>
      <c r="E19" s="5">
        <f>SUMIFS('[1]SO Warung'!$I:$I,'[1]SO Warung'!$A:$A,A19,'[1]SO Warung'!$B:$B,B19,'[1]SO Warung'!$D:$D,C19)</f>
        <v>0</v>
      </c>
      <c r="F19" s="5">
        <f t="shared" si="0"/>
        <v>7</v>
      </c>
      <c r="G19" s="6">
        <v>23000</v>
      </c>
      <c r="H19" s="1"/>
    </row>
    <row r="20" spans="1:8" ht="15" thickBot="1" x14ac:dyDescent="0.35">
      <c r="A20" s="2">
        <v>46154</v>
      </c>
      <c r="B20" s="1" t="s">
        <v>24</v>
      </c>
      <c r="C20" s="4">
        <v>8</v>
      </c>
      <c r="D20" s="4">
        <v>8</v>
      </c>
      <c r="E20" s="5">
        <f>SUMIFS('[1]SO Warung'!$I:$I,'[1]SO Warung'!$A:$A,A20,'[1]SO Warung'!$B:$B,B20,'[1]SO Warung'!$D:$D,C20)</f>
        <v>3</v>
      </c>
      <c r="F20" s="5">
        <f t="shared" si="0"/>
        <v>5</v>
      </c>
      <c r="G20" s="6">
        <v>11000</v>
      </c>
      <c r="H20" s="1"/>
    </row>
    <row r="21" spans="1:8" ht="15" thickBot="1" x14ac:dyDescent="0.35">
      <c r="A21" s="2">
        <v>46154</v>
      </c>
      <c r="B21" s="1" t="s">
        <v>25</v>
      </c>
      <c r="C21" s="4">
        <v>8</v>
      </c>
      <c r="D21" s="4">
        <v>6</v>
      </c>
      <c r="E21" s="5">
        <f>SUMIFS('[1]SO Warung'!$I:$I,'[1]SO Warung'!$A:$A,A21,'[1]SO Warung'!$B:$B,B21,'[1]SO Warung'!$D:$D,C21)</f>
        <v>2</v>
      </c>
      <c r="F21" s="5">
        <f t="shared" si="0"/>
        <v>4</v>
      </c>
      <c r="G21" s="6">
        <v>14500</v>
      </c>
      <c r="H21" s="1"/>
    </row>
    <row r="22" spans="1:8" ht="15" thickBot="1" x14ac:dyDescent="0.35">
      <c r="A22" s="2">
        <v>46154</v>
      </c>
      <c r="B22" s="1" t="s">
        <v>26</v>
      </c>
      <c r="C22" s="4">
        <v>8</v>
      </c>
      <c r="D22" s="4">
        <v>20</v>
      </c>
      <c r="E22" s="5">
        <f>SUMIFS('[1]SO Warung'!$I:$I,'[1]SO Warung'!$A:$A,A22,'[1]SO Warung'!$B:$B,B22,'[1]SO Warung'!$D:$D,C22)</f>
        <v>2</v>
      </c>
      <c r="F22" s="5">
        <f t="shared" si="0"/>
        <v>18</v>
      </c>
      <c r="G22" s="6">
        <v>3500</v>
      </c>
      <c r="H22" s="1"/>
    </row>
    <row r="23" spans="1:8" ht="15" thickBot="1" x14ac:dyDescent="0.35">
      <c r="A23" s="2">
        <v>46154</v>
      </c>
      <c r="B23" s="1" t="s">
        <v>27</v>
      </c>
      <c r="C23" s="4">
        <v>8</v>
      </c>
      <c r="D23" s="4">
        <v>8</v>
      </c>
      <c r="E23" s="5">
        <f>SUMIFS('[1]SO Warung'!$I:$I,'[1]SO Warung'!$A:$A,A23,'[1]SO Warung'!$B:$B,B23,'[1]SO Warung'!$D:$D,C23)</f>
        <v>1</v>
      </c>
      <c r="F23" s="5">
        <f t="shared" si="0"/>
        <v>7</v>
      </c>
      <c r="G23" s="6">
        <v>5500</v>
      </c>
      <c r="H23" s="1"/>
    </row>
    <row r="24" spans="1:8" ht="15" thickBot="1" x14ac:dyDescent="0.35">
      <c r="A24" s="2">
        <v>46154</v>
      </c>
      <c r="B24" s="1" t="s">
        <v>28</v>
      </c>
      <c r="C24" s="4">
        <v>8</v>
      </c>
      <c r="D24" s="4">
        <v>3</v>
      </c>
      <c r="E24" s="5">
        <f>SUMIFS('[1]SO Warung'!$I:$I,'[1]SO Warung'!$A:$A,A24,'[1]SO Warung'!$B:$B,B24,'[1]SO Warung'!$D:$D,C24)</f>
        <v>2</v>
      </c>
      <c r="F24" s="5">
        <f t="shared" si="0"/>
        <v>1</v>
      </c>
      <c r="G24" s="6">
        <v>9000</v>
      </c>
      <c r="H2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CE441-CDA4-4A53-89BE-162F338C8637}">
  <dimension ref="A1:H24"/>
  <sheetViews>
    <sheetView tabSelected="1" workbookViewId="0">
      <selection activeCell="F1" sqref="F1"/>
    </sheetView>
  </sheetViews>
  <sheetFormatPr defaultColWidth="17.6640625" defaultRowHeight="14.4" x14ac:dyDescent="0.3"/>
  <cols>
    <col min="2" max="2" width="26.44140625" customWidth="1"/>
  </cols>
  <sheetData>
    <row r="1" spans="1:8" ht="15" thickBot="1" x14ac:dyDescent="0.35">
      <c r="A1" s="3" t="s">
        <v>0</v>
      </c>
      <c r="B1" s="3" t="s">
        <v>1</v>
      </c>
      <c r="C1" s="3" t="s">
        <v>29</v>
      </c>
      <c r="D1" s="3" t="s">
        <v>2</v>
      </c>
      <c r="E1" s="3" t="s">
        <v>3</v>
      </c>
      <c r="F1" s="3" t="s">
        <v>30</v>
      </c>
      <c r="G1" s="3" t="s">
        <v>4</v>
      </c>
      <c r="H1" s="3" t="s">
        <v>5</v>
      </c>
    </row>
    <row r="2" spans="1:8" ht="15" thickBot="1" x14ac:dyDescent="0.35">
      <c r="A2" s="2">
        <v>46154</v>
      </c>
      <c r="B2" s="1" t="s">
        <v>6</v>
      </c>
      <c r="C2" s="4">
        <v>9</v>
      </c>
      <c r="D2" s="4">
        <v>5</v>
      </c>
      <c r="E2" s="5">
        <f>SUMIFS('[1]SO Warung'!$I:$I,'[1]SO Warung'!$A:$A,A2,'[1]SO Warung'!$B:$B,B2,'[1]SO Warung'!$D:$D,C2)</f>
        <v>1</v>
      </c>
      <c r="F2" s="5">
        <f>D2-E2</f>
        <v>4</v>
      </c>
      <c r="G2" s="6">
        <v>35000</v>
      </c>
      <c r="H2" s="1"/>
    </row>
    <row r="3" spans="1:8" ht="15" thickBot="1" x14ac:dyDescent="0.35">
      <c r="A3" s="2">
        <v>46154</v>
      </c>
      <c r="B3" s="1" t="s">
        <v>7</v>
      </c>
      <c r="C3" s="4">
        <v>9</v>
      </c>
      <c r="D3" s="4">
        <v>6</v>
      </c>
      <c r="E3" s="5">
        <f>SUMIFS('[1]SO Warung'!$I:$I,'[1]SO Warung'!$A:$A,A3,'[1]SO Warung'!$B:$B,B3,'[1]SO Warung'!$D:$D,C3)</f>
        <v>5</v>
      </c>
      <c r="F3" s="5">
        <f t="shared" ref="F3:F24" si="0">D3-E3</f>
        <v>1</v>
      </c>
      <c r="G3" s="6">
        <v>23000</v>
      </c>
      <c r="H3" s="1"/>
    </row>
    <row r="4" spans="1:8" ht="15" thickBot="1" x14ac:dyDescent="0.35">
      <c r="A4" s="2">
        <v>46154</v>
      </c>
      <c r="B4" s="1" t="s">
        <v>8</v>
      </c>
      <c r="C4" s="4">
        <v>9</v>
      </c>
      <c r="D4" s="4">
        <v>2</v>
      </c>
      <c r="E4" s="5">
        <f>SUMIFS('[1]SO Warung'!$I:$I,'[1]SO Warung'!$A:$A,A4,'[1]SO Warung'!$B:$B,B4,'[1]SO Warung'!$D:$D,C4)</f>
        <v>0</v>
      </c>
      <c r="F4" s="5">
        <f t="shared" si="0"/>
        <v>2</v>
      </c>
      <c r="G4" s="6">
        <v>21000</v>
      </c>
      <c r="H4" s="1"/>
    </row>
    <row r="5" spans="1:8" ht="15" thickBot="1" x14ac:dyDescent="0.35">
      <c r="A5" s="2">
        <v>46154</v>
      </c>
      <c r="B5" s="1" t="s">
        <v>9</v>
      </c>
      <c r="C5" s="4">
        <v>9</v>
      </c>
      <c r="D5" s="4">
        <v>3</v>
      </c>
      <c r="E5" s="5">
        <f>SUMIFS('[1]SO Warung'!$I:$I,'[1]SO Warung'!$A:$A,A5,'[1]SO Warung'!$B:$B,B5,'[1]SO Warung'!$D:$D,C5)</f>
        <v>0</v>
      </c>
      <c r="F5" s="5">
        <f t="shared" si="0"/>
        <v>3</v>
      </c>
      <c r="G5" s="6">
        <v>36000</v>
      </c>
      <c r="H5" s="1"/>
    </row>
    <row r="6" spans="1:8" ht="15" thickBot="1" x14ac:dyDescent="0.35">
      <c r="A6" s="2">
        <v>46154</v>
      </c>
      <c r="B6" s="1" t="s">
        <v>10</v>
      </c>
      <c r="C6" s="4">
        <v>9</v>
      </c>
      <c r="D6" s="4">
        <v>5</v>
      </c>
      <c r="E6" s="5">
        <f>SUMIFS('[1]SO Warung'!$I:$I,'[1]SO Warung'!$A:$A,A6,'[1]SO Warung'!$B:$B,B6,'[1]SO Warung'!$D:$D,C6)</f>
        <v>7</v>
      </c>
      <c r="F6" s="5">
        <f t="shared" si="0"/>
        <v>-2</v>
      </c>
      <c r="G6" s="6">
        <v>23000</v>
      </c>
      <c r="H6" s="1"/>
    </row>
    <row r="7" spans="1:8" ht="15" thickBot="1" x14ac:dyDescent="0.35">
      <c r="A7" s="2">
        <v>46154</v>
      </c>
      <c r="B7" s="1" t="s">
        <v>11</v>
      </c>
      <c r="C7" s="4">
        <v>9</v>
      </c>
      <c r="D7" s="4">
        <v>6</v>
      </c>
      <c r="E7" s="5">
        <f>SUMIFS('[1]SO Warung'!$I:$I,'[1]SO Warung'!$A:$A,A7,'[1]SO Warung'!$B:$B,B7,'[1]SO Warung'!$D:$D,C7)</f>
        <v>0</v>
      </c>
      <c r="F7" s="5">
        <f t="shared" si="0"/>
        <v>6</v>
      </c>
      <c r="G7" s="6">
        <v>15000</v>
      </c>
      <c r="H7" s="1"/>
    </row>
    <row r="8" spans="1:8" ht="15" thickBot="1" x14ac:dyDescent="0.35">
      <c r="A8" s="2">
        <v>46154</v>
      </c>
      <c r="B8" s="1" t="s">
        <v>12</v>
      </c>
      <c r="C8" s="4">
        <v>9</v>
      </c>
      <c r="D8" s="4">
        <v>6</v>
      </c>
      <c r="E8" s="5">
        <f>SUMIFS('[1]SO Warung'!$I:$I,'[1]SO Warung'!$A:$A,A8,'[1]SO Warung'!$B:$B,B8,'[1]SO Warung'!$D:$D,C8)</f>
        <v>0</v>
      </c>
      <c r="F8" s="5">
        <f t="shared" si="0"/>
        <v>6</v>
      </c>
      <c r="G8" s="6">
        <v>18000</v>
      </c>
      <c r="H8" s="1"/>
    </row>
    <row r="9" spans="1:8" ht="15" thickBot="1" x14ac:dyDescent="0.35">
      <c r="A9" s="2">
        <v>46154</v>
      </c>
      <c r="B9" s="1" t="s">
        <v>13</v>
      </c>
      <c r="C9" s="4">
        <v>9</v>
      </c>
      <c r="D9" s="4">
        <v>2</v>
      </c>
      <c r="E9" s="5">
        <f>SUMIFS('[1]SO Warung'!$I:$I,'[1]SO Warung'!$A:$A,A9,'[1]SO Warung'!$B:$B,B9,'[1]SO Warung'!$D:$D,C9)</f>
        <v>0</v>
      </c>
      <c r="F9" s="5">
        <f t="shared" si="0"/>
        <v>2</v>
      </c>
      <c r="G9" s="6">
        <v>21000</v>
      </c>
      <c r="H9" s="1"/>
    </row>
    <row r="10" spans="1:8" ht="15" thickBot="1" x14ac:dyDescent="0.35">
      <c r="A10" s="2">
        <v>46154</v>
      </c>
      <c r="B10" s="1" t="s">
        <v>14</v>
      </c>
      <c r="C10" s="4">
        <v>9</v>
      </c>
      <c r="D10" s="4">
        <v>4</v>
      </c>
      <c r="E10" s="5">
        <f>SUMIFS('[1]SO Warung'!$I:$I,'[1]SO Warung'!$A:$A,A10,'[1]SO Warung'!$B:$B,B10,'[1]SO Warung'!$D:$D,C10)</f>
        <v>0</v>
      </c>
      <c r="F10" s="5">
        <f t="shared" si="0"/>
        <v>4</v>
      </c>
      <c r="G10" s="6">
        <v>18000</v>
      </c>
      <c r="H10" s="1"/>
    </row>
    <row r="11" spans="1:8" ht="15" thickBot="1" x14ac:dyDescent="0.35">
      <c r="A11" s="2">
        <v>46154</v>
      </c>
      <c r="B11" s="1" t="s">
        <v>15</v>
      </c>
      <c r="C11" s="4">
        <v>9</v>
      </c>
      <c r="D11" s="4">
        <v>3</v>
      </c>
      <c r="E11" s="5">
        <f>SUMIFS('[1]SO Warung'!$I:$I,'[1]SO Warung'!$A:$A,A11,'[1]SO Warung'!$B:$B,B11,'[1]SO Warung'!$D:$D,C11)</f>
        <v>1</v>
      </c>
      <c r="F11" s="5">
        <f t="shared" si="0"/>
        <v>2</v>
      </c>
      <c r="G11" s="6">
        <v>21000</v>
      </c>
      <c r="H11" s="1"/>
    </row>
    <row r="12" spans="1:8" ht="15" thickBot="1" x14ac:dyDescent="0.35">
      <c r="A12" s="2">
        <v>46154</v>
      </c>
      <c r="B12" s="1" t="s">
        <v>16</v>
      </c>
      <c r="C12" s="4">
        <v>9</v>
      </c>
      <c r="D12" s="4">
        <v>2</v>
      </c>
      <c r="E12" s="5">
        <f>SUMIFS('[1]SO Warung'!$I:$I,'[1]SO Warung'!$A:$A,A12,'[1]SO Warung'!$B:$B,B12,'[1]SO Warung'!$D:$D,C12)</f>
        <v>0</v>
      </c>
      <c r="F12" s="5">
        <f t="shared" si="0"/>
        <v>2</v>
      </c>
      <c r="G12" s="6">
        <v>35000</v>
      </c>
      <c r="H12" s="1"/>
    </row>
    <row r="13" spans="1:8" ht="15" thickBot="1" x14ac:dyDescent="0.35">
      <c r="A13" s="2">
        <v>46154</v>
      </c>
      <c r="B13" s="1" t="s">
        <v>17</v>
      </c>
      <c r="C13" s="4">
        <v>9</v>
      </c>
      <c r="D13" s="4">
        <v>4</v>
      </c>
      <c r="E13" s="5">
        <f>SUMIFS('[1]SO Warung'!$I:$I,'[1]SO Warung'!$A:$A,A13,'[1]SO Warung'!$B:$B,B13,'[1]SO Warung'!$D:$D,C13)</f>
        <v>0</v>
      </c>
      <c r="F13" s="5">
        <f t="shared" si="0"/>
        <v>4</v>
      </c>
      <c r="G13" s="6">
        <v>40000</v>
      </c>
      <c r="H13" s="1"/>
    </row>
    <row r="14" spans="1:8" ht="15" thickBot="1" x14ac:dyDescent="0.35">
      <c r="A14" s="2">
        <v>46154</v>
      </c>
      <c r="B14" s="1" t="s">
        <v>18</v>
      </c>
      <c r="C14" s="4">
        <v>9</v>
      </c>
      <c r="D14" s="4">
        <v>12</v>
      </c>
      <c r="E14" s="5">
        <f>SUMIFS('[1]SO Warung'!$I:$I,'[1]SO Warung'!$A:$A,A14,'[1]SO Warung'!$B:$B,B14,'[1]SO Warung'!$D:$D,C14)</f>
        <v>2</v>
      </c>
      <c r="F14" s="5">
        <f t="shared" si="0"/>
        <v>10</v>
      </c>
      <c r="G14" s="6">
        <v>2500</v>
      </c>
      <c r="H14" s="1"/>
    </row>
    <row r="15" spans="1:8" ht="15" thickBot="1" x14ac:dyDescent="0.35">
      <c r="A15" s="2">
        <v>46154</v>
      </c>
      <c r="B15" s="1" t="s">
        <v>19</v>
      </c>
      <c r="C15" s="4">
        <v>9</v>
      </c>
      <c r="D15" s="4">
        <v>10</v>
      </c>
      <c r="E15" s="5">
        <f>SUMIFS('[1]SO Warung'!$I:$I,'[1]SO Warung'!$A:$A,A15,'[1]SO Warung'!$B:$B,B15,'[1]SO Warung'!$D:$D,C15)</f>
        <v>7</v>
      </c>
      <c r="F15" s="5">
        <f t="shared" si="0"/>
        <v>3</v>
      </c>
      <c r="G15" s="6">
        <v>2000</v>
      </c>
      <c r="H15" s="1"/>
    </row>
    <row r="16" spans="1:8" ht="15" thickBot="1" x14ac:dyDescent="0.35">
      <c r="A16" s="2">
        <v>46154</v>
      </c>
      <c r="B16" s="1" t="s">
        <v>20</v>
      </c>
      <c r="C16" s="4">
        <v>9</v>
      </c>
      <c r="D16" s="4">
        <v>10</v>
      </c>
      <c r="E16" s="5">
        <f>SUMIFS('[1]SO Warung'!$I:$I,'[1]SO Warung'!$A:$A,A16,'[1]SO Warung'!$B:$B,B16,'[1]SO Warung'!$D:$D,C16)</f>
        <v>3</v>
      </c>
      <c r="F16" s="5">
        <f t="shared" si="0"/>
        <v>7</v>
      </c>
      <c r="G16" s="6">
        <v>2500</v>
      </c>
      <c r="H16" s="1"/>
    </row>
    <row r="17" spans="1:8" ht="15" thickBot="1" x14ac:dyDescent="0.35">
      <c r="A17" s="2">
        <v>46154</v>
      </c>
      <c r="B17" s="1" t="s">
        <v>21</v>
      </c>
      <c r="C17" s="4">
        <v>9</v>
      </c>
      <c r="D17" s="4">
        <v>15</v>
      </c>
      <c r="E17" s="5">
        <f>SUMIFS('[1]SO Warung'!$I:$I,'[1]SO Warung'!$A:$A,A17,'[1]SO Warung'!$B:$B,B17,'[1]SO Warung'!$D:$D,C17)</f>
        <v>0</v>
      </c>
      <c r="F17" s="5">
        <f t="shared" si="0"/>
        <v>15</v>
      </c>
      <c r="G17" s="6">
        <v>10000</v>
      </c>
      <c r="H17" s="1"/>
    </row>
    <row r="18" spans="1:8" ht="15" thickBot="1" x14ac:dyDescent="0.35">
      <c r="A18" s="2">
        <v>46154</v>
      </c>
      <c r="B18" s="1" t="s">
        <v>22</v>
      </c>
      <c r="C18" s="4">
        <v>9</v>
      </c>
      <c r="D18" s="4">
        <v>10</v>
      </c>
      <c r="E18" s="5">
        <f>SUMIFS('[1]SO Warung'!$I:$I,'[1]SO Warung'!$A:$A,A18,'[1]SO Warung'!$B:$B,B18,'[1]SO Warung'!$D:$D,C18)</f>
        <v>9</v>
      </c>
      <c r="F18" s="5">
        <f t="shared" si="0"/>
        <v>1</v>
      </c>
      <c r="G18" s="6">
        <v>15000</v>
      </c>
      <c r="H18" s="1"/>
    </row>
    <row r="19" spans="1:8" ht="15" thickBot="1" x14ac:dyDescent="0.35">
      <c r="A19" s="2">
        <v>46154</v>
      </c>
      <c r="B19" s="1" t="s">
        <v>23</v>
      </c>
      <c r="C19" s="4">
        <v>9</v>
      </c>
      <c r="D19" s="4">
        <v>7</v>
      </c>
      <c r="E19" s="5">
        <f>SUMIFS('[1]SO Warung'!$I:$I,'[1]SO Warung'!$A:$A,A19,'[1]SO Warung'!$B:$B,B19,'[1]SO Warung'!$D:$D,C19)</f>
        <v>0</v>
      </c>
      <c r="F19" s="5">
        <f t="shared" si="0"/>
        <v>7</v>
      </c>
      <c r="G19" s="6">
        <v>23000</v>
      </c>
      <c r="H19" s="1"/>
    </row>
    <row r="20" spans="1:8" ht="15" thickBot="1" x14ac:dyDescent="0.35">
      <c r="A20" s="2">
        <v>46154</v>
      </c>
      <c r="B20" s="1" t="s">
        <v>24</v>
      </c>
      <c r="C20" s="4">
        <v>9</v>
      </c>
      <c r="D20" s="4">
        <v>8</v>
      </c>
      <c r="E20" s="5">
        <f>SUMIFS('[1]SO Warung'!$I:$I,'[1]SO Warung'!$A:$A,A20,'[1]SO Warung'!$B:$B,B20,'[1]SO Warung'!$D:$D,C20)</f>
        <v>3</v>
      </c>
      <c r="F20" s="5">
        <f t="shared" si="0"/>
        <v>5</v>
      </c>
      <c r="G20" s="6">
        <v>11000</v>
      </c>
      <c r="H20" s="1"/>
    </row>
    <row r="21" spans="1:8" ht="15" thickBot="1" x14ac:dyDescent="0.35">
      <c r="A21" s="2">
        <v>46154</v>
      </c>
      <c r="B21" s="1" t="s">
        <v>25</v>
      </c>
      <c r="C21" s="4">
        <v>9</v>
      </c>
      <c r="D21" s="4">
        <v>6</v>
      </c>
      <c r="E21" s="5">
        <f>SUMIFS('[1]SO Warung'!$I:$I,'[1]SO Warung'!$A:$A,A21,'[1]SO Warung'!$B:$B,B21,'[1]SO Warung'!$D:$D,C21)</f>
        <v>1</v>
      </c>
      <c r="F21" s="5">
        <f t="shared" si="0"/>
        <v>5</v>
      </c>
      <c r="G21" s="6">
        <v>14500</v>
      </c>
      <c r="H21" s="1"/>
    </row>
    <row r="22" spans="1:8" ht="15" thickBot="1" x14ac:dyDescent="0.35">
      <c r="A22" s="2">
        <v>46154</v>
      </c>
      <c r="B22" s="1" t="s">
        <v>26</v>
      </c>
      <c r="C22" s="4">
        <v>9</v>
      </c>
      <c r="D22" s="4">
        <v>20</v>
      </c>
      <c r="E22" s="5">
        <f>SUMIFS('[1]SO Warung'!$I:$I,'[1]SO Warung'!$A:$A,A22,'[1]SO Warung'!$B:$B,B22,'[1]SO Warung'!$D:$D,C22)</f>
        <v>4</v>
      </c>
      <c r="F22" s="5">
        <f t="shared" si="0"/>
        <v>16</v>
      </c>
      <c r="G22" s="6">
        <v>3500</v>
      </c>
      <c r="H22" s="1"/>
    </row>
    <row r="23" spans="1:8" ht="15" thickBot="1" x14ac:dyDescent="0.35">
      <c r="A23" s="2">
        <v>46154</v>
      </c>
      <c r="B23" s="1" t="s">
        <v>27</v>
      </c>
      <c r="C23" s="4">
        <v>9</v>
      </c>
      <c r="D23" s="4">
        <v>8</v>
      </c>
      <c r="E23" s="5">
        <f>SUMIFS('[1]SO Warung'!$I:$I,'[1]SO Warung'!$A:$A,A23,'[1]SO Warung'!$B:$B,B23,'[1]SO Warung'!$D:$D,C23)</f>
        <v>3</v>
      </c>
      <c r="F23" s="5">
        <f t="shared" si="0"/>
        <v>5</v>
      </c>
      <c r="G23" s="6">
        <v>5500</v>
      </c>
      <c r="H23" s="1"/>
    </row>
    <row r="24" spans="1:8" ht="15" thickBot="1" x14ac:dyDescent="0.35">
      <c r="A24" s="2">
        <v>46154</v>
      </c>
      <c r="B24" s="1" t="s">
        <v>28</v>
      </c>
      <c r="C24" s="4">
        <v>9</v>
      </c>
      <c r="D24" s="4">
        <v>3</v>
      </c>
      <c r="E24" s="5">
        <f>SUMIFS('[1]SO Warung'!$I:$I,'[1]SO Warung'!$A:$A,A24,'[1]SO Warung'!$B:$B,B24,'[1]SO Warung'!$D:$D,C24)</f>
        <v>1</v>
      </c>
      <c r="F24" s="5">
        <f t="shared" si="0"/>
        <v>2</v>
      </c>
      <c r="G24" s="6">
        <v>9000</v>
      </c>
      <c r="H2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lantai3</vt:lpstr>
      <vt:lpstr>lantai8</vt:lpstr>
      <vt:lpstr>lantai9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Farras Thariq Hasibuan</dc:creator>
  <cp:lastModifiedBy>Andi Farras Thariq Hasibuan</cp:lastModifiedBy>
  <dcterms:created xsi:type="dcterms:W3CDTF">2026-05-12T04:16:41Z</dcterms:created>
  <dcterms:modified xsi:type="dcterms:W3CDTF">2026-05-13T01:26:33Z</dcterms:modified>
</cp:coreProperties>
</file>