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8766\Downloads\"/>
    </mc:Choice>
  </mc:AlternateContent>
  <xr:revisionPtr revIDLastSave="0" documentId="13_ncr:1_{CF5321DA-7A1D-4933-9021-2CB0CC7B53AE}" xr6:coauthVersionLast="47" xr6:coauthVersionMax="47" xr10:uidLastSave="{00000000-0000-0000-0000-000000000000}"/>
  <bookViews>
    <workbookView xWindow="-108" yWindow="-108" windowWidth="23256" windowHeight="13896" activeTab="1" xr2:uid="{E71C7164-E198-422E-8C3D-C5FE1C326B01}"/>
  </bookViews>
  <sheets>
    <sheet name="lantai3" sheetId="1" r:id="rId1"/>
    <sheet name="lantai8" sheetId="2" r:id="rId2"/>
    <sheet name="lantai9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3" l="1"/>
  <c r="E9" i="3"/>
  <c r="E24" i="3"/>
  <c r="E8" i="2"/>
  <c r="E9" i="2"/>
  <c r="E23" i="2"/>
  <c r="E24" i="2"/>
  <c r="E2" i="2"/>
  <c r="E2" i="1"/>
  <c r="F2" i="1" s="1"/>
  <c r="E8" i="1"/>
  <c r="F8" i="1" s="1"/>
  <c r="E9" i="1"/>
  <c r="F9" i="1" s="1"/>
  <c r="E3" i="1"/>
  <c r="F3" i="1" s="1"/>
  <c r="E4" i="1"/>
  <c r="F4" i="1" s="1"/>
  <c r="E6" i="1"/>
  <c r="F6" i="1" s="1"/>
  <c r="E17" i="1"/>
  <c r="F17" i="1" s="1"/>
  <c r="E18" i="1"/>
  <c r="F18" i="1" s="1"/>
  <c r="E20" i="1"/>
  <c r="F20" i="1" s="1"/>
  <c r="E22" i="1"/>
  <c r="F22" i="1" s="1"/>
  <c r="E24" i="1"/>
  <c r="F24" i="1" s="1"/>
  <c r="E3" i="2"/>
  <c r="E18" i="2"/>
  <c r="E19" i="2"/>
  <c r="E21" i="2"/>
  <c r="E2" i="3"/>
  <c r="E3" i="3"/>
  <c r="E4" i="3"/>
  <c r="E12" i="3"/>
  <c r="E19" i="3"/>
  <c r="E20" i="3"/>
  <c r="E22" i="3"/>
  <c r="E15" i="2" l="1"/>
  <c r="E17" i="2"/>
  <c r="E16" i="2"/>
  <c r="E17" i="3"/>
  <c r="E23" i="1"/>
  <c r="F23" i="1" s="1"/>
  <c r="E16" i="3"/>
  <c r="E18" i="3"/>
  <c r="E15" i="1"/>
  <c r="F15" i="1" s="1"/>
  <c r="E14" i="1"/>
  <c r="F14" i="1" s="1"/>
  <c r="E14" i="2"/>
  <c r="E13" i="2"/>
  <c r="E11" i="2"/>
  <c r="E22" i="2"/>
  <c r="E12" i="1"/>
  <c r="F12" i="1" s="1"/>
  <c r="E10" i="1"/>
  <c r="F10" i="1" s="1"/>
  <c r="E19" i="1"/>
  <c r="F19" i="1" s="1"/>
  <c r="E20" i="2"/>
  <c r="E21" i="3"/>
  <c r="E13" i="1"/>
  <c r="F13" i="1" s="1"/>
  <c r="E11" i="1"/>
  <c r="F11" i="1" s="1"/>
  <c r="E23" i="3"/>
  <c r="E12" i="2"/>
  <c r="E7" i="1"/>
  <c r="F7" i="1" s="1"/>
  <c r="E21" i="1"/>
  <c r="F21" i="1" s="1"/>
  <c r="E16" i="1"/>
  <c r="F16" i="1" s="1"/>
  <c r="E14" i="3"/>
  <c r="E13" i="3"/>
  <c r="E15" i="3"/>
  <c r="E10" i="2"/>
  <c r="E11" i="3"/>
  <c r="E10" i="3"/>
  <c r="E5" i="1"/>
  <c r="F5" i="1" s="1"/>
  <c r="E7" i="2"/>
  <c r="E6" i="2"/>
  <c r="E7" i="3"/>
  <c r="E5" i="2"/>
  <c r="E6" i="3"/>
  <c r="E4" i="2"/>
  <c r="E5" i="3"/>
</calcChain>
</file>

<file path=xl/sharedStrings.xml><?xml version="1.0" encoding="utf-8"?>
<sst xmlns="http://schemas.openxmlformats.org/spreadsheetml/2006/main" count="91" uniqueCount="31">
  <si>
    <t>Tanggal</t>
  </si>
  <si>
    <t>Produk</t>
  </si>
  <si>
    <t>Jumlah</t>
  </si>
  <si>
    <t>Actual</t>
  </si>
  <si>
    <t>Harga Jual</t>
  </si>
  <si>
    <t>Notes</t>
  </si>
  <si>
    <t>Bawang Goreng</t>
  </si>
  <si>
    <t>Keripik Tempe</t>
  </si>
  <si>
    <t>Keripik Singkong</t>
  </si>
  <si>
    <t>Kentang Mustofa Daun Jeruk</t>
  </si>
  <si>
    <t>Komicin</t>
  </si>
  <si>
    <t>DeSnack</t>
  </si>
  <si>
    <t>Macaroni</t>
  </si>
  <si>
    <t>Cimol Kering</t>
  </si>
  <si>
    <t>JajanYuk 18</t>
  </si>
  <si>
    <t>JajanYuk 21</t>
  </si>
  <si>
    <t>Popcorn Ori</t>
  </si>
  <si>
    <t>Popcorn Rasa</t>
  </si>
  <si>
    <t>Pop Mie Mini</t>
  </si>
  <si>
    <t>Mie Gemez</t>
  </si>
  <si>
    <t>Cheetos</t>
  </si>
  <si>
    <t>Amplang</t>
  </si>
  <si>
    <t>Pisang Sale</t>
  </si>
  <si>
    <t>Kacang Disco</t>
  </si>
  <si>
    <t>Sari gandum</t>
  </si>
  <si>
    <t>Yogurt</t>
  </si>
  <si>
    <t>Lemonilo chimi</t>
  </si>
  <si>
    <t>PopMie besar</t>
  </si>
  <si>
    <t>YouC</t>
  </si>
  <si>
    <t>lantai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</si>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</sst>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fo365-my.sharepoint.com/personal/69487_fif_co_id/Documents/Compliance/Compliance%20Culture/Tracking%20Stock%20dan%20Transaksi%20Warung%20Kejujuran.xlsx" TargetMode="External"/><Relationship Id="rId1" Type="http://schemas.openxmlformats.org/officeDocument/2006/relationships/externalLinkPath" Target="https://fifo365-my.sharepoint.com/personal/69487_fif_co_id/Documents/Compliance/Compliance%20Culture/Tracking%20Stock%20dan%20Transaksi%20Warung%20Kejujur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SO"/>
      <sheetName val="SO Warung"/>
      <sheetName val="Penjualan"/>
      <sheetName val="Sheet2"/>
      <sheetName val="Sheet1"/>
      <sheetName val="Stock Karyawan"/>
      <sheetName val="Hasil Transaksi"/>
    </sheetNames>
    <sheetDataSet>
      <sheetData sheetId="0"/>
      <sheetData sheetId="1">
        <row r="1">
          <cell r="A1" t="str">
            <v>Tanggal</v>
          </cell>
          <cell r="B1" t="str">
            <v>Nama Produk</v>
          </cell>
          <cell r="D1" t="str">
            <v>Lantai</v>
          </cell>
          <cell r="I1" t="str">
            <v>Terjual</v>
          </cell>
        </row>
        <row r="2">
          <cell r="A2">
            <v>46142</v>
          </cell>
          <cell r="B2" t="str">
            <v>Bawang Goreng</v>
          </cell>
          <cell r="D2">
            <v>3</v>
          </cell>
          <cell r="I2">
            <v>5</v>
          </cell>
        </row>
        <row r="3">
          <cell r="A3">
            <v>46142</v>
          </cell>
          <cell r="B3" t="str">
            <v>Keripik Tempe</v>
          </cell>
          <cell r="D3">
            <v>3</v>
          </cell>
          <cell r="I3">
            <v>6</v>
          </cell>
        </row>
        <row r="4">
          <cell r="A4">
            <v>46142</v>
          </cell>
          <cell r="B4" t="str">
            <v>Keripik Singkong</v>
          </cell>
          <cell r="D4">
            <v>3</v>
          </cell>
          <cell r="I4">
            <v>0</v>
          </cell>
        </row>
        <row r="5">
          <cell r="A5">
            <v>46142</v>
          </cell>
          <cell r="B5" t="str">
            <v>Kentang Mustofa Daun Jeruk</v>
          </cell>
          <cell r="D5">
            <v>3</v>
          </cell>
          <cell r="I5">
            <v>0</v>
          </cell>
        </row>
        <row r="6">
          <cell r="A6">
            <v>46142</v>
          </cell>
          <cell r="B6" t="str">
            <v>Komicin</v>
          </cell>
          <cell r="D6">
            <v>3</v>
          </cell>
          <cell r="I6">
            <v>3</v>
          </cell>
        </row>
        <row r="7">
          <cell r="A7">
            <v>46142</v>
          </cell>
          <cell r="B7" t="str">
            <v>DeSnack</v>
          </cell>
          <cell r="D7">
            <v>3</v>
          </cell>
          <cell r="I7">
            <v>1</v>
          </cell>
        </row>
        <row r="8">
          <cell r="A8">
            <v>46142</v>
          </cell>
          <cell r="B8" t="str">
            <v>Macaroni</v>
          </cell>
          <cell r="D8">
            <v>3</v>
          </cell>
          <cell r="I8">
            <v>2</v>
          </cell>
        </row>
        <row r="9">
          <cell r="A9">
            <v>46142</v>
          </cell>
          <cell r="B9" t="str">
            <v>Cimol Kering</v>
          </cell>
          <cell r="D9">
            <v>3</v>
          </cell>
          <cell r="I9">
            <v>0</v>
          </cell>
        </row>
        <row r="10">
          <cell r="A10">
            <v>46142</v>
          </cell>
          <cell r="B10" t="str">
            <v>Popcorn Ori</v>
          </cell>
          <cell r="D10">
            <v>3</v>
          </cell>
          <cell r="I10">
            <v>2</v>
          </cell>
        </row>
        <row r="11">
          <cell r="A11">
            <v>46142</v>
          </cell>
          <cell r="B11" t="str">
            <v>Popcorn Rasa</v>
          </cell>
          <cell r="D11">
            <v>3</v>
          </cell>
          <cell r="I11">
            <v>3</v>
          </cell>
        </row>
        <row r="12">
          <cell r="A12">
            <v>46142</v>
          </cell>
          <cell r="B12" t="str">
            <v>Pop Mie Mini</v>
          </cell>
          <cell r="D12">
            <v>3</v>
          </cell>
          <cell r="I12">
            <v>0</v>
          </cell>
        </row>
        <row r="13">
          <cell r="A13">
            <v>46142</v>
          </cell>
          <cell r="B13" t="str">
            <v>Mie Gemez</v>
          </cell>
          <cell r="D13">
            <v>3</v>
          </cell>
          <cell r="I13">
            <v>6</v>
          </cell>
        </row>
        <row r="14">
          <cell r="A14">
            <v>46142</v>
          </cell>
          <cell r="B14" t="str">
            <v>Cheetos</v>
          </cell>
          <cell r="D14">
            <v>3</v>
          </cell>
          <cell r="I14">
            <v>5</v>
          </cell>
        </row>
        <row r="15">
          <cell r="A15">
            <v>46142</v>
          </cell>
          <cell r="B15" t="str">
            <v>Amplang</v>
          </cell>
          <cell r="D15">
            <v>3</v>
          </cell>
          <cell r="I15">
            <v>0</v>
          </cell>
        </row>
        <row r="16">
          <cell r="A16">
            <v>46142</v>
          </cell>
          <cell r="B16" t="str">
            <v>Pisang Sale</v>
          </cell>
          <cell r="D16">
            <v>3</v>
          </cell>
          <cell r="I16">
            <v>2</v>
          </cell>
        </row>
        <row r="17">
          <cell r="A17">
            <v>46142</v>
          </cell>
          <cell r="B17" t="str">
            <v>Kacang Disco</v>
          </cell>
          <cell r="D17">
            <v>3</v>
          </cell>
          <cell r="I17">
            <v>1</v>
          </cell>
        </row>
        <row r="18">
          <cell r="A18">
            <v>46142</v>
          </cell>
          <cell r="B18" t="str">
            <v>Bawang Goreng</v>
          </cell>
          <cell r="D18">
            <v>8</v>
          </cell>
          <cell r="I18">
            <v>1</v>
          </cell>
        </row>
        <row r="19">
          <cell r="A19">
            <v>46142</v>
          </cell>
          <cell r="B19" t="str">
            <v>Keripik Tempe</v>
          </cell>
          <cell r="D19">
            <v>8</v>
          </cell>
          <cell r="I19">
            <v>6</v>
          </cell>
        </row>
        <row r="20">
          <cell r="A20">
            <v>46142</v>
          </cell>
          <cell r="B20" t="str">
            <v>Keripik Singkong</v>
          </cell>
          <cell r="D20">
            <v>8</v>
          </cell>
          <cell r="I20">
            <v>1</v>
          </cell>
        </row>
        <row r="21">
          <cell r="A21">
            <v>46142</v>
          </cell>
          <cell r="B21" t="str">
            <v>Kentang Mustofa Daun Jeruk</v>
          </cell>
          <cell r="D21">
            <v>8</v>
          </cell>
          <cell r="I21">
            <v>1</v>
          </cell>
        </row>
        <row r="22">
          <cell r="A22">
            <v>46142</v>
          </cell>
          <cell r="B22" t="str">
            <v>Komicin</v>
          </cell>
          <cell r="D22">
            <v>8</v>
          </cell>
          <cell r="I22">
            <v>5</v>
          </cell>
        </row>
        <row r="23">
          <cell r="A23">
            <v>46142</v>
          </cell>
          <cell r="B23" t="str">
            <v>DeSnack</v>
          </cell>
          <cell r="D23">
            <v>8</v>
          </cell>
          <cell r="I23">
            <v>4</v>
          </cell>
        </row>
        <row r="24">
          <cell r="A24">
            <v>46142</v>
          </cell>
          <cell r="B24" t="str">
            <v>Macaroni</v>
          </cell>
          <cell r="D24">
            <v>8</v>
          </cell>
          <cell r="I24">
            <v>4</v>
          </cell>
        </row>
        <row r="25">
          <cell r="A25">
            <v>46142</v>
          </cell>
          <cell r="B25" t="str">
            <v>Cimol Kering</v>
          </cell>
          <cell r="D25">
            <v>8</v>
          </cell>
          <cell r="I25">
            <v>2</v>
          </cell>
        </row>
        <row r="26">
          <cell r="A26">
            <v>46142</v>
          </cell>
          <cell r="B26" t="str">
            <v>Popcorn Ori</v>
          </cell>
          <cell r="D26">
            <v>8</v>
          </cell>
          <cell r="I26">
            <v>1</v>
          </cell>
        </row>
        <row r="27">
          <cell r="A27">
            <v>46142</v>
          </cell>
          <cell r="B27" t="str">
            <v>Popcorn Rasa</v>
          </cell>
          <cell r="D27">
            <v>8</v>
          </cell>
          <cell r="I27">
            <v>1</v>
          </cell>
        </row>
        <row r="28">
          <cell r="A28">
            <v>46142</v>
          </cell>
          <cell r="B28" t="str">
            <v>Pop Mie Mini</v>
          </cell>
          <cell r="D28">
            <v>8</v>
          </cell>
          <cell r="I28">
            <v>2</v>
          </cell>
        </row>
        <row r="29">
          <cell r="A29">
            <v>46142</v>
          </cell>
          <cell r="B29" t="str">
            <v>Mie Gemez</v>
          </cell>
          <cell r="D29">
            <v>8</v>
          </cell>
          <cell r="I29">
            <v>9</v>
          </cell>
        </row>
        <row r="30">
          <cell r="A30">
            <v>46142</v>
          </cell>
          <cell r="B30" t="str">
            <v>Cheetos</v>
          </cell>
          <cell r="D30">
            <v>8</v>
          </cell>
          <cell r="I30">
            <v>8</v>
          </cell>
        </row>
        <row r="31">
          <cell r="A31">
            <v>46142</v>
          </cell>
          <cell r="B31" t="str">
            <v>Amplang</v>
          </cell>
          <cell r="D31">
            <v>8</v>
          </cell>
          <cell r="I31">
            <v>0</v>
          </cell>
        </row>
        <row r="32">
          <cell r="A32">
            <v>46142</v>
          </cell>
          <cell r="B32" t="str">
            <v>Pisang Sale</v>
          </cell>
          <cell r="D32">
            <v>8</v>
          </cell>
          <cell r="I32">
            <v>9</v>
          </cell>
        </row>
        <row r="33">
          <cell r="A33">
            <v>46142</v>
          </cell>
          <cell r="B33" t="str">
            <v>Kacang Disco</v>
          </cell>
          <cell r="D33">
            <v>8</v>
          </cell>
          <cell r="I33">
            <v>2</v>
          </cell>
        </row>
        <row r="34">
          <cell r="A34">
            <v>46142</v>
          </cell>
          <cell r="B34" t="str">
            <v>Bawang Goreng</v>
          </cell>
          <cell r="D34">
            <v>9</v>
          </cell>
          <cell r="I34">
            <v>5</v>
          </cell>
        </row>
        <row r="35">
          <cell r="A35">
            <v>46142</v>
          </cell>
          <cell r="B35" t="str">
            <v>Keripik Tempe</v>
          </cell>
          <cell r="D35">
            <v>9</v>
          </cell>
          <cell r="I35">
            <v>5</v>
          </cell>
        </row>
        <row r="36">
          <cell r="A36">
            <v>46142</v>
          </cell>
          <cell r="B36" t="str">
            <v>Keripik Singkong</v>
          </cell>
          <cell r="D36">
            <v>9</v>
          </cell>
          <cell r="I36">
            <v>0</v>
          </cell>
        </row>
        <row r="37">
          <cell r="A37">
            <v>46142</v>
          </cell>
          <cell r="B37" t="str">
            <v>Kentang Mustofa Daun Jeruk</v>
          </cell>
          <cell r="D37">
            <v>9</v>
          </cell>
          <cell r="I37">
            <v>2</v>
          </cell>
        </row>
        <row r="38">
          <cell r="A38">
            <v>46142</v>
          </cell>
          <cell r="B38" t="str">
            <v>Komicin</v>
          </cell>
          <cell r="D38">
            <v>9</v>
          </cell>
          <cell r="I38">
            <v>5</v>
          </cell>
        </row>
        <row r="39">
          <cell r="A39">
            <v>46142</v>
          </cell>
          <cell r="B39" t="str">
            <v>DeSnack</v>
          </cell>
          <cell r="D39">
            <v>9</v>
          </cell>
          <cell r="I39">
            <v>3</v>
          </cell>
        </row>
        <row r="40">
          <cell r="A40">
            <v>46142</v>
          </cell>
          <cell r="B40" t="str">
            <v>Macaroni</v>
          </cell>
          <cell r="D40">
            <v>9</v>
          </cell>
          <cell r="I40">
            <v>2</v>
          </cell>
        </row>
        <row r="41">
          <cell r="A41">
            <v>46142</v>
          </cell>
          <cell r="B41" t="str">
            <v>Cimol Kering</v>
          </cell>
          <cell r="D41">
            <v>9</v>
          </cell>
          <cell r="I41">
            <v>2</v>
          </cell>
        </row>
        <row r="42">
          <cell r="A42">
            <v>46142</v>
          </cell>
          <cell r="B42" t="str">
            <v>Popcorn Ori</v>
          </cell>
          <cell r="D42">
            <v>9</v>
          </cell>
          <cell r="I42">
            <v>2</v>
          </cell>
        </row>
        <row r="43">
          <cell r="A43">
            <v>46142</v>
          </cell>
          <cell r="B43" t="str">
            <v>Popcorn Rasa</v>
          </cell>
          <cell r="D43">
            <v>9</v>
          </cell>
          <cell r="I43">
            <v>0</v>
          </cell>
        </row>
        <row r="44">
          <cell r="A44">
            <v>46142</v>
          </cell>
          <cell r="B44" t="str">
            <v>Pop Mie Mini</v>
          </cell>
          <cell r="D44">
            <v>9</v>
          </cell>
          <cell r="I44">
            <v>1</v>
          </cell>
        </row>
        <row r="45">
          <cell r="A45">
            <v>46142</v>
          </cell>
          <cell r="B45" t="str">
            <v>Mie Gemez</v>
          </cell>
          <cell r="D45">
            <v>9</v>
          </cell>
          <cell r="I45">
            <v>8</v>
          </cell>
        </row>
        <row r="46">
          <cell r="A46">
            <v>46142</v>
          </cell>
          <cell r="B46" t="str">
            <v>Cheetos</v>
          </cell>
          <cell r="D46">
            <v>9</v>
          </cell>
          <cell r="I46">
            <v>1</v>
          </cell>
        </row>
        <row r="47">
          <cell r="A47">
            <v>46142</v>
          </cell>
          <cell r="B47" t="str">
            <v>Amplang</v>
          </cell>
          <cell r="D47">
            <v>9</v>
          </cell>
          <cell r="I47">
            <v>1</v>
          </cell>
        </row>
        <row r="48">
          <cell r="A48">
            <v>46142</v>
          </cell>
          <cell r="B48" t="str">
            <v>Pisang Sale</v>
          </cell>
          <cell r="D48">
            <v>9</v>
          </cell>
          <cell r="I48">
            <v>8</v>
          </cell>
        </row>
        <row r="49">
          <cell r="A49">
            <v>46142</v>
          </cell>
          <cell r="B49" t="str">
            <v>Kacang Disco</v>
          </cell>
          <cell r="D49">
            <v>9</v>
          </cell>
          <cell r="I49">
            <v>1</v>
          </cell>
        </row>
        <row r="50">
          <cell r="A50">
            <v>46146</v>
          </cell>
          <cell r="B50" t="str">
            <v>Bawang Goreng</v>
          </cell>
          <cell r="D50">
            <v>3</v>
          </cell>
          <cell r="I50">
            <v>0</v>
          </cell>
        </row>
        <row r="51">
          <cell r="A51">
            <v>46146</v>
          </cell>
          <cell r="B51" t="str">
            <v>Keripik Tempe</v>
          </cell>
          <cell r="D51">
            <v>3</v>
          </cell>
          <cell r="I51">
            <v>4</v>
          </cell>
        </row>
        <row r="52">
          <cell r="A52">
            <v>46146</v>
          </cell>
          <cell r="B52" t="str">
            <v>Keripik Singkong</v>
          </cell>
          <cell r="D52">
            <v>3</v>
          </cell>
          <cell r="I52">
            <v>0</v>
          </cell>
        </row>
        <row r="53">
          <cell r="A53">
            <v>46146</v>
          </cell>
          <cell r="B53" t="str">
            <v>Kentang Mustofa Daun Jeruk</v>
          </cell>
          <cell r="D53">
            <v>3</v>
          </cell>
          <cell r="I53">
            <v>0</v>
          </cell>
        </row>
        <row r="54">
          <cell r="A54">
            <v>46146</v>
          </cell>
          <cell r="B54" t="str">
            <v>Komicin</v>
          </cell>
          <cell r="D54">
            <v>3</v>
          </cell>
          <cell r="I54">
            <v>2</v>
          </cell>
        </row>
        <row r="55">
          <cell r="A55">
            <v>46146</v>
          </cell>
          <cell r="B55" t="str">
            <v>DeSnack</v>
          </cell>
          <cell r="D55">
            <v>3</v>
          </cell>
          <cell r="I55">
            <v>1</v>
          </cell>
        </row>
        <row r="56">
          <cell r="A56">
            <v>46146</v>
          </cell>
          <cell r="B56" t="str">
            <v>Macaroni</v>
          </cell>
          <cell r="D56">
            <v>3</v>
          </cell>
          <cell r="I56">
            <v>3</v>
          </cell>
        </row>
        <row r="57">
          <cell r="A57">
            <v>46146</v>
          </cell>
          <cell r="B57" t="str">
            <v>Cimol Kering</v>
          </cell>
          <cell r="D57">
            <v>3</v>
          </cell>
          <cell r="I57">
            <v>1</v>
          </cell>
        </row>
        <row r="58">
          <cell r="A58">
            <v>46146</v>
          </cell>
          <cell r="B58" t="str">
            <v>Popcorn Ori</v>
          </cell>
          <cell r="D58">
            <v>3</v>
          </cell>
          <cell r="I58">
            <v>1</v>
          </cell>
        </row>
        <row r="59">
          <cell r="A59">
            <v>46146</v>
          </cell>
          <cell r="B59" t="str">
            <v>Popcorn Rasa</v>
          </cell>
          <cell r="D59">
            <v>3</v>
          </cell>
          <cell r="I59">
            <v>0</v>
          </cell>
        </row>
        <row r="60">
          <cell r="A60">
            <v>46146</v>
          </cell>
          <cell r="B60" t="str">
            <v>Pop Mie Mini</v>
          </cell>
          <cell r="D60">
            <v>3</v>
          </cell>
          <cell r="I60">
            <v>0</v>
          </cell>
        </row>
        <row r="61">
          <cell r="A61">
            <v>46146</v>
          </cell>
          <cell r="B61" t="str">
            <v>Mie Gemez</v>
          </cell>
          <cell r="D61">
            <v>3</v>
          </cell>
          <cell r="I61">
            <v>0</v>
          </cell>
        </row>
        <row r="62">
          <cell r="A62">
            <v>46146</v>
          </cell>
          <cell r="B62" t="str">
            <v>Cheetos</v>
          </cell>
          <cell r="D62">
            <v>3</v>
          </cell>
          <cell r="I62">
            <v>1</v>
          </cell>
        </row>
        <row r="63">
          <cell r="A63">
            <v>46146</v>
          </cell>
          <cell r="B63" t="str">
            <v>Amplang</v>
          </cell>
          <cell r="D63">
            <v>3</v>
          </cell>
          <cell r="I63">
            <v>2</v>
          </cell>
        </row>
        <row r="64">
          <cell r="A64">
            <v>46146</v>
          </cell>
          <cell r="B64" t="str">
            <v>Pisang Sale</v>
          </cell>
          <cell r="D64">
            <v>3</v>
          </cell>
          <cell r="I64">
            <v>6</v>
          </cell>
        </row>
        <row r="65">
          <cell r="A65">
            <v>46146</v>
          </cell>
          <cell r="B65" t="str">
            <v>Kacang Disco</v>
          </cell>
          <cell r="D65">
            <v>3</v>
          </cell>
          <cell r="I65">
            <v>1</v>
          </cell>
        </row>
        <row r="66">
          <cell r="A66">
            <v>46146</v>
          </cell>
          <cell r="B66" t="str">
            <v>Bawang Goreng</v>
          </cell>
          <cell r="D66">
            <v>8</v>
          </cell>
          <cell r="I66">
            <v>0</v>
          </cell>
        </row>
        <row r="67">
          <cell r="A67">
            <v>46146</v>
          </cell>
          <cell r="B67" t="str">
            <v>Keripik Tempe</v>
          </cell>
          <cell r="D67">
            <v>8</v>
          </cell>
          <cell r="I67">
            <v>0</v>
          </cell>
        </row>
        <row r="68">
          <cell r="A68">
            <v>46146</v>
          </cell>
          <cell r="B68" t="str">
            <v>Keripik Singkong</v>
          </cell>
          <cell r="D68">
            <v>8</v>
          </cell>
          <cell r="I68">
            <v>0</v>
          </cell>
        </row>
        <row r="69">
          <cell r="A69">
            <v>46146</v>
          </cell>
          <cell r="B69" t="str">
            <v>Kentang Mustofa Daun Jeruk</v>
          </cell>
          <cell r="D69">
            <v>8</v>
          </cell>
          <cell r="I69">
            <v>0</v>
          </cell>
        </row>
        <row r="70">
          <cell r="A70">
            <v>46146</v>
          </cell>
          <cell r="B70" t="str">
            <v>Komicin</v>
          </cell>
          <cell r="D70">
            <v>8</v>
          </cell>
          <cell r="I70">
            <v>0</v>
          </cell>
        </row>
        <row r="71">
          <cell r="A71">
            <v>46146</v>
          </cell>
          <cell r="B71" t="str">
            <v>DeSnack</v>
          </cell>
          <cell r="D71">
            <v>8</v>
          </cell>
          <cell r="I71">
            <v>3</v>
          </cell>
        </row>
        <row r="72">
          <cell r="A72">
            <v>46146</v>
          </cell>
          <cell r="B72" t="str">
            <v>Macaroni</v>
          </cell>
          <cell r="D72">
            <v>8</v>
          </cell>
          <cell r="I72">
            <v>4</v>
          </cell>
        </row>
        <row r="73">
          <cell r="A73">
            <v>46146</v>
          </cell>
          <cell r="B73" t="str">
            <v>Cimol Kering</v>
          </cell>
          <cell r="D73">
            <v>8</v>
          </cell>
          <cell r="I73">
            <v>0</v>
          </cell>
        </row>
        <row r="74">
          <cell r="A74">
            <v>46146</v>
          </cell>
          <cell r="B74" t="str">
            <v>Popcorn Ori</v>
          </cell>
          <cell r="D74">
            <v>8</v>
          </cell>
          <cell r="I74">
            <v>0</v>
          </cell>
        </row>
        <row r="75">
          <cell r="A75">
            <v>46146</v>
          </cell>
          <cell r="B75" t="str">
            <v>Popcorn Rasa</v>
          </cell>
          <cell r="D75">
            <v>8</v>
          </cell>
          <cell r="I75">
            <v>0</v>
          </cell>
        </row>
        <row r="76">
          <cell r="A76">
            <v>46146</v>
          </cell>
          <cell r="B76" t="str">
            <v>Pop Mie Mini</v>
          </cell>
          <cell r="D76">
            <v>8</v>
          </cell>
          <cell r="I76">
            <v>4</v>
          </cell>
        </row>
        <row r="77">
          <cell r="A77">
            <v>46146</v>
          </cell>
          <cell r="B77" t="str">
            <v>Mie Gemez</v>
          </cell>
          <cell r="D77">
            <v>8</v>
          </cell>
          <cell r="I77">
            <v>0</v>
          </cell>
        </row>
        <row r="78">
          <cell r="A78">
            <v>46146</v>
          </cell>
          <cell r="B78" t="str">
            <v>Cheetos</v>
          </cell>
          <cell r="D78">
            <v>8</v>
          </cell>
          <cell r="I78">
            <v>4</v>
          </cell>
        </row>
        <row r="79">
          <cell r="A79">
            <v>46146</v>
          </cell>
          <cell r="B79" t="str">
            <v>Amplang</v>
          </cell>
          <cell r="D79">
            <v>8</v>
          </cell>
          <cell r="I79">
            <v>0</v>
          </cell>
        </row>
        <row r="80">
          <cell r="A80">
            <v>46146</v>
          </cell>
          <cell r="B80" t="str">
            <v>Pisang Sale</v>
          </cell>
          <cell r="D80">
            <v>8</v>
          </cell>
          <cell r="I80">
            <v>1</v>
          </cell>
        </row>
        <row r="81">
          <cell r="A81">
            <v>46146</v>
          </cell>
          <cell r="B81" t="str">
            <v>Kacang Disco</v>
          </cell>
          <cell r="D81">
            <v>8</v>
          </cell>
          <cell r="I81">
            <v>0</v>
          </cell>
        </row>
        <row r="82">
          <cell r="A82">
            <v>46146</v>
          </cell>
          <cell r="B82" t="str">
            <v>Bawang Goreng</v>
          </cell>
          <cell r="D82">
            <v>9</v>
          </cell>
          <cell r="I82">
            <v>0</v>
          </cell>
        </row>
        <row r="83">
          <cell r="A83">
            <v>46146</v>
          </cell>
          <cell r="B83" t="str">
            <v>Keripik Tempe</v>
          </cell>
          <cell r="D83">
            <v>9</v>
          </cell>
          <cell r="I83">
            <v>6</v>
          </cell>
        </row>
        <row r="84">
          <cell r="A84">
            <v>46146</v>
          </cell>
          <cell r="B84" t="str">
            <v>Keripik Singkong</v>
          </cell>
          <cell r="D84">
            <v>9</v>
          </cell>
          <cell r="I84">
            <v>0</v>
          </cell>
        </row>
        <row r="85">
          <cell r="A85">
            <v>46146</v>
          </cell>
          <cell r="B85" t="str">
            <v>Kentang Mustofa Daun Jeruk</v>
          </cell>
          <cell r="D85">
            <v>9</v>
          </cell>
          <cell r="I85">
            <v>0</v>
          </cell>
        </row>
        <row r="86">
          <cell r="A86">
            <v>46146</v>
          </cell>
          <cell r="B86" t="str">
            <v>Komicin</v>
          </cell>
          <cell r="D86">
            <v>9</v>
          </cell>
          <cell r="I86">
            <v>0</v>
          </cell>
        </row>
        <row r="87">
          <cell r="A87">
            <v>46146</v>
          </cell>
          <cell r="B87" t="str">
            <v>DeSnack</v>
          </cell>
          <cell r="D87">
            <v>9</v>
          </cell>
          <cell r="I87">
            <v>2</v>
          </cell>
        </row>
        <row r="88">
          <cell r="A88">
            <v>46146</v>
          </cell>
          <cell r="B88" t="str">
            <v>Macaroni</v>
          </cell>
          <cell r="D88">
            <v>9</v>
          </cell>
          <cell r="I88">
            <v>5</v>
          </cell>
        </row>
        <row r="89">
          <cell r="A89">
            <v>46146</v>
          </cell>
          <cell r="B89" t="str">
            <v>Cimol Kering</v>
          </cell>
          <cell r="D89">
            <v>9</v>
          </cell>
          <cell r="I89">
            <v>2</v>
          </cell>
        </row>
        <row r="90">
          <cell r="A90">
            <v>46146</v>
          </cell>
          <cell r="B90" t="str">
            <v>Popcorn Ori</v>
          </cell>
          <cell r="D90">
            <v>9</v>
          </cell>
          <cell r="I90">
            <v>0</v>
          </cell>
        </row>
        <row r="91">
          <cell r="A91">
            <v>46146</v>
          </cell>
          <cell r="B91" t="str">
            <v>Popcorn Rasa</v>
          </cell>
          <cell r="D91">
            <v>9</v>
          </cell>
          <cell r="I91">
            <v>0</v>
          </cell>
        </row>
        <row r="92">
          <cell r="A92">
            <v>46146</v>
          </cell>
          <cell r="B92" t="str">
            <v>Pop Mie Mini</v>
          </cell>
          <cell r="D92">
            <v>9</v>
          </cell>
          <cell r="I92">
            <v>3</v>
          </cell>
        </row>
        <row r="93">
          <cell r="A93">
            <v>46146</v>
          </cell>
          <cell r="B93" t="str">
            <v>Mie Gemez</v>
          </cell>
          <cell r="D93">
            <v>9</v>
          </cell>
          <cell r="I93">
            <v>6</v>
          </cell>
        </row>
        <row r="94">
          <cell r="A94">
            <v>46146</v>
          </cell>
          <cell r="B94" t="str">
            <v>Cheetos</v>
          </cell>
          <cell r="D94">
            <v>9</v>
          </cell>
          <cell r="I94">
            <v>2</v>
          </cell>
        </row>
        <row r="95">
          <cell r="A95">
            <v>46146</v>
          </cell>
          <cell r="B95" t="str">
            <v>Amplang</v>
          </cell>
          <cell r="D95">
            <v>9</v>
          </cell>
          <cell r="I95">
            <v>3</v>
          </cell>
        </row>
        <row r="96">
          <cell r="A96">
            <v>46146</v>
          </cell>
          <cell r="B96" t="str">
            <v>Pisang Sale</v>
          </cell>
          <cell r="D96">
            <v>9</v>
          </cell>
          <cell r="I96">
            <v>2</v>
          </cell>
        </row>
        <row r="97">
          <cell r="A97">
            <v>46146</v>
          </cell>
          <cell r="B97" t="str">
            <v>Kacang Disco</v>
          </cell>
          <cell r="D97">
            <v>9</v>
          </cell>
          <cell r="I97">
            <v>1</v>
          </cell>
        </row>
        <row r="98">
          <cell r="A98">
            <v>46147</v>
          </cell>
          <cell r="B98" t="str">
            <v>Bawang Goreng</v>
          </cell>
          <cell r="D98">
            <v>3</v>
          </cell>
          <cell r="I98">
            <v>0</v>
          </cell>
        </row>
        <row r="99">
          <cell r="A99">
            <v>46147</v>
          </cell>
          <cell r="B99" t="str">
            <v>Keripik Tempe</v>
          </cell>
          <cell r="D99">
            <v>3</v>
          </cell>
          <cell r="I99">
            <v>3</v>
          </cell>
        </row>
        <row r="100">
          <cell r="A100">
            <v>46147</v>
          </cell>
          <cell r="B100" t="str">
            <v>Keripik Singkong</v>
          </cell>
          <cell r="D100">
            <v>3</v>
          </cell>
          <cell r="I100">
            <v>0</v>
          </cell>
        </row>
        <row r="101">
          <cell r="A101">
            <v>46147</v>
          </cell>
          <cell r="B101" t="str">
            <v>Kentang Mustofa Daun Jeruk</v>
          </cell>
          <cell r="D101">
            <v>3</v>
          </cell>
          <cell r="I101">
            <v>0</v>
          </cell>
        </row>
        <row r="102">
          <cell r="A102">
            <v>46147</v>
          </cell>
          <cell r="B102" t="str">
            <v>Komicin</v>
          </cell>
          <cell r="D102">
            <v>3</v>
          </cell>
          <cell r="I102">
            <v>0</v>
          </cell>
        </row>
        <row r="103">
          <cell r="A103">
            <v>46147</v>
          </cell>
          <cell r="B103" t="str">
            <v>DeSnack</v>
          </cell>
          <cell r="D103">
            <v>3</v>
          </cell>
          <cell r="I103">
            <v>2</v>
          </cell>
        </row>
        <row r="104">
          <cell r="A104">
            <v>46147</v>
          </cell>
          <cell r="B104" t="str">
            <v>Macaroni</v>
          </cell>
          <cell r="D104">
            <v>3</v>
          </cell>
          <cell r="I104">
            <v>2</v>
          </cell>
        </row>
        <row r="105">
          <cell r="A105">
            <v>46147</v>
          </cell>
          <cell r="B105" t="str">
            <v>Cimol Kering</v>
          </cell>
          <cell r="D105">
            <v>3</v>
          </cell>
          <cell r="I105">
            <v>0</v>
          </cell>
        </row>
        <row r="106">
          <cell r="A106">
            <v>46147</v>
          </cell>
          <cell r="B106" t="str">
            <v>Popcorn Ori</v>
          </cell>
          <cell r="D106">
            <v>3</v>
          </cell>
          <cell r="I106">
            <v>0</v>
          </cell>
        </row>
        <row r="107">
          <cell r="A107">
            <v>46147</v>
          </cell>
          <cell r="B107" t="str">
            <v>Popcorn Rasa</v>
          </cell>
          <cell r="D107">
            <v>3</v>
          </cell>
          <cell r="I107">
            <v>1</v>
          </cell>
        </row>
        <row r="108">
          <cell r="A108">
            <v>46147</v>
          </cell>
          <cell r="B108" t="str">
            <v>Pop Mie Mini</v>
          </cell>
          <cell r="D108">
            <v>3</v>
          </cell>
          <cell r="I108">
            <v>0</v>
          </cell>
        </row>
        <row r="109">
          <cell r="A109">
            <v>46147</v>
          </cell>
          <cell r="B109" t="str">
            <v>Mie Gemez</v>
          </cell>
          <cell r="D109">
            <v>3</v>
          </cell>
          <cell r="I109">
            <v>0</v>
          </cell>
        </row>
        <row r="110">
          <cell r="A110">
            <v>46147</v>
          </cell>
          <cell r="B110" t="str">
            <v>Cheetos</v>
          </cell>
          <cell r="D110">
            <v>3</v>
          </cell>
          <cell r="I110">
            <v>7</v>
          </cell>
        </row>
        <row r="111">
          <cell r="A111">
            <v>46147</v>
          </cell>
          <cell r="B111" t="str">
            <v>Amplang</v>
          </cell>
          <cell r="D111">
            <v>3</v>
          </cell>
          <cell r="I111">
            <v>0</v>
          </cell>
        </row>
        <row r="112">
          <cell r="A112">
            <v>46147</v>
          </cell>
          <cell r="B112" t="str">
            <v>Pisang Sale</v>
          </cell>
          <cell r="D112">
            <v>3</v>
          </cell>
          <cell r="I112">
            <v>0</v>
          </cell>
        </row>
        <row r="113">
          <cell r="A113">
            <v>46147</v>
          </cell>
          <cell r="B113" t="str">
            <v>Kacang Disco</v>
          </cell>
          <cell r="D113">
            <v>3</v>
          </cell>
          <cell r="I113">
            <v>0</v>
          </cell>
        </row>
        <row r="114">
          <cell r="A114">
            <v>46147</v>
          </cell>
          <cell r="B114" t="str">
            <v>Bawang Goreng</v>
          </cell>
          <cell r="D114">
            <v>8</v>
          </cell>
          <cell r="I114">
            <v>0</v>
          </cell>
        </row>
        <row r="115">
          <cell r="A115">
            <v>46147</v>
          </cell>
          <cell r="B115" t="str">
            <v>Keripik Tempe</v>
          </cell>
          <cell r="D115">
            <v>8</v>
          </cell>
          <cell r="I115">
            <v>1</v>
          </cell>
        </row>
        <row r="116">
          <cell r="A116">
            <v>46147</v>
          </cell>
          <cell r="B116" t="str">
            <v>Keripik Singkong</v>
          </cell>
          <cell r="D116">
            <v>8</v>
          </cell>
          <cell r="I116">
            <v>0</v>
          </cell>
        </row>
        <row r="117">
          <cell r="A117">
            <v>46147</v>
          </cell>
          <cell r="B117" t="str">
            <v>Kentang Mustofa Daun Jeruk</v>
          </cell>
          <cell r="D117">
            <v>8</v>
          </cell>
          <cell r="I117">
            <v>0</v>
          </cell>
        </row>
        <row r="118">
          <cell r="A118">
            <v>46147</v>
          </cell>
          <cell r="B118" t="str">
            <v>Komicin</v>
          </cell>
          <cell r="D118">
            <v>8</v>
          </cell>
          <cell r="I118">
            <v>0</v>
          </cell>
        </row>
        <row r="119">
          <cell r="A119">
            <v>46147</v>
          </cell>
          <cell r="B119" t="str">
            <v>DeSnack</v>
          </cell>
          <cell r="D119">
            <v>8</v>
          </cell>
          <cell r="I119">
            <v>-3</v>
          </cell>
        </row>
        <row r="120">
          <cell r="A120">
            <v>46147</v>
          </cell>
          <cell r="B120" t="str">
            <v>Macaroni</v>
          </cell>
          <cell r="D120">
            <v>8</v>
          </cell>
          <cell r="I120">
            <v>1</v>
          </cell>
        </row>
        <row r="121">
          <cell r="A121">
            <v>46147</v>
          </cell>
          <cell r="B121" t="str">
            <v>Cimol Kering</v>
          </cell>
          <cell r="D121">
            <v>8</v>
          </cell>
          <cell r="I121">
            <v>1</v>
          </cell>
        </row>
        <row r="122">
          <cell r="A122">
            <v>46147</v>
          </cell>
          <cell r="B122" t="str">
            <v>Popcorn Ori</v>
          </cell>
          <cell r="D122">
            <v>8</v>
          </cell>
          <cell r="I122">
            <v>0</v>
          </cell>
        </row>
        <row r="123">
          <cell r="A123">
            <v>46147</v>
          </cell>
          <cell r="B123" t="str">
            <v>Popcorn Rasa</v>
          </cell>
          <cell r="D123">
            <v>8</v>
          </cell>
          <cell r="I123">
            <v>0</v>
          </cell>
        </row>
        <row r="124">
          <cell r="A124">
            <v>46147</v>
          </cell>
          <cell r="B124" t="str">
            <v>Pop Mie Mini</v>
          </cell>
          <cell r="D124">
            <v>8</v>
          </cell>
          <cell r="I124">
            <v>0</v>
          </cell>
        </row>
        <row r="125">
          <cell r="A125">
            <v>46147</v>
          </cell>
          <cell r="B125" t="str">
            <v>Mie Gemez</v>
          </cell>
          <cell r="D125">
            <v>8</v>
          </cell>
          <cell r="I125">
            <v>2</v>
          </cell>
        </row>
        <row r="126">
          <cell r="A126">
            <v>46147</v>
          </cell>
          <cell r="B126" t="str">
            <v>Cheetos</v>
          </cell>
          <cell r="D126">
            <v>8</v>
          </cell>
          <cell r="I126">
            <v>4</v>
          </cell>
        </row>
        <row r="127">
          <cell r="A127">
            <v>46147</v>
          </cell>
          <cell r="B127" t="str">
            <v>Amplang</v>
          </cell>
          <cell r="D127">
            <v>8</v>
          </cell>
          <cell r="I127">
            <v>0</v>
          </cell>
        </row>
        <row r="128">
          <cell r="A128">
            <v>46147</v>
          </cell>
          <cell r="B128" t="str">
            <v>Pisang Sale</v>
          </cell>
          <cell r="D128">
            <v>8</v>
          </cell>
          <cell r="I128">
            <v>0</v>
          </cell>
        </row>
        <row r="129">
          <cell r="A129">
            <v>46147</v>
          </cell>
          <cell r="B129" t="str">
            <v>Kacang Disco</v>
          </cell>
          <cell r="D129">
            <v>8</v>
          </cell>
          <cell r="I129">
            <v>0</v>
          </cell>
        </row>
        <row r="130">
          <cell r="A130">
            <v>46147</v>
          </cell>
          <cell r="B130" t="str">
            <v>Bawang Goreng</v>
          </cell>
          <cell r="D130">
            <v>9</v>
          </cell>
          <cell r="I130">
            <v>0</v>
          </cell>
        </row>
        <row r="131">
          <cell r="A131">
            <v>46147</v>
          </cell>
          <cell r="B131" t="str">
            <v>Keripik Tempe</v>
          </cell>
          <cell r="D131">
            <v>9</v>
          </cell>
          <cell r="I131">
            <v>3</v>
          </cell>
        </row>
        <row r="132">
          <cell r="A132">
            <v>46147</v>
          </cell>
          <cell r="B132" t="str">
            <v>Keripik Singkong</v>
          </cell>
          <cell r="D132">
            <v>9</v>
          </cell>
          <cell r="I132">
            <v>0</v>
          </cell>
        </row>
        <row r="133">
          <cell r="A133">
            <v>46147</v>
          </cell>
          <cell r="B133" t="str">
            <v>Kentang Mustofa Daun Jeruk</v>
          </cell>
          <cell r="D133">
            <v>9</v>
          </cell>
          <cell r="I133">
            <v>1</v>
          </cell>
        </row>
        <row r="134">
          <cell r="A134">
            <v>46147</v>
          </cell>
          <cell r="B134" t="str">
            <v>Komicin</v>
          </cell>
          <cell r="D134">
            <v>9</v>
          </cell>
          <cell r="I134">
            <v>0</v>
          </cell>
        </row>
        <row r="135">
          <cell r="A135">
            <v>46147</v>
          </cell>
          <cell r="B135" t="str">
            <v>DeSnack</v>
          </cell>
          <cell r="D135">
            <v>9</v>
          </cell>
          <cell r="I135">
            <v>2</v>
          </cell>
        </row>
        <row r="136">
          <cell r="A136">
            <v>46147</v>
          </cell>
          <cell r="B136" t="str">
            <v>Macaroni</v>
          </cell>
          <cell r="D136">
            <v>9</v>
          </cell>
          <cell r="I136">
            <v>0</v>
          </cell>
        </row>
        <row r="137">
          <cell r="A137">
            <v>46147</v>
          </cell>
          <cell r="B137" t="str">
            <v>Cimol Kering</v>
          </cell>
          <cell r="D137">
            <v>9</v>
          </cell>
          <cell r="I137">
            <v>0</v>
          </cell>
        </row>
        <row r="138">
          <cell r="A138">
            <v>46147</v>
          </cell>
          <cell r="B138" t="str">
            <v>Popcorn Ori</v>
          </cell>
          <cell r="D138">
            <v>9</v>
          </cell>
          <cell r="I138">
            <v>0</v>
          </cell>
        </row>
        <row r="139">
          <cell r="A139">
            <v>46147</v>
          </cell>
          <cell r="B139" t="str">
            <v>Popcorn Rasa</v>
          </cell>
          <cell r="D139">
            <v>9</v>
          </cell>
          <cell r="I139">
            <v>3</v>
          </cell>
        </row>
        <row r="140">
          <cell r="A140">
            <v>46147</v>
          </cell>
          <cell r="B140" t="str">
            <v>Pop Mie Mini</v>
          </cell>
          <cell r="D140">
            <v>9</v>
          </cell>
          <cell r="I140">
            <v>0</v>
          </cell>
        </row>
        <row r="141">
          <cell r="A141">
            <v>46147</v>
          </cell>
          <cell r="B141" t="str">
            <v>Mie Gemez</v>
          </cell>
          <cell r="D141">
            <v>9</v>
          </cell>
          <cell r="I141">
            <v>10</v>
          </cell>
        </row>
        <row r="142">
          <cell r="A142">
            <v>46147</v>
          </cell>
          <cell r="B142" t="str">
            <v>Cheetos</v>
          </cell>
          <cell r="D142">
            <v>9</v>
          </cell>
          <cell r="I142">
            <v>3</v>
          </cell>
        </row>
        <row r="143">
          <cell r="A143">
            <v>46147</v>
          </cell>
          <cell r="B143" t="str">
            <v>Amplang</v>
          </cell>
          <cell r="D143">
            <v>9</v>
          </cell>
          <cell r="I143">
            <v>-3</v>
          </cell>
        </row>
        <row r="144">
          <cell r="A144">
            <v>46147</v>
          </cell>
          <cell r="B144" t="str">
            <v>Pisang Sale</v>
          </cell>
          <cell r="D144">
            <v>9</v>
          </cell>
          <cell r="I144">
            <v>0</v>
          </cell>
        </row>
        <row r="145">
          <cell r="A145">
            <v>46147</v>
          </cell>
          <cell r="B145" t="str">
            <v>Kacang Disco</v>
          </cell>
          <cell r="D145">
            <v>9</v>
          </cell>
          <cell r="I145">
            <v>0</v>
          </cell>
        </row>
        <row r="146">
          <cell r="A146">
            <v>46148</v>
          </cell>
          <cell r="B146" t="str">
            <v>Bawang Goreng</v>
          </cell>
          <cell r="D146">
            <v>3</v>
          </cell>
          <cell r="I146">
            <v>0</v>
          </cell>
        </row>
        <row r="147">
          <cell r="A147">
            <v>46148</v>
          </cell>
          <cell r="B147" t="str">
            <v>Keripik Tempe</v>
          </cell>
          <cell r="D147">
            <v>3</v>
          </cell>
          <cell r="I147">
            <v>5</v>
          </cell>
        </row>
        <row r="148">
          <cell r="A148">
            <v>46148</v>
          </cell>
          <cell r="B148" t="str">
            <v>Keripik Singkong</v>
          </cell>
          <cell r="D148">
            <v>3</v>
          </cell>
          <cell r="I148">
            <v>0</v>
          </cell>
        </row>
        <row r="149">
          <cell r="A149">
            <v>46148</v>
          </cell>
          <cell r="B149" t="str">
            <v>Kentang Mustofa Daun Jeruk</v>
          </cell>
          <cell r="D149">
            <v>3</v>
          </cell>
          <cell r="I149">
            <v>0</v>
          </cell>
        </row>
        <row r="150">
          <cell r="A150">
            <v>46148</v>
          </cell>
          <cell r="B150" t="str">
            <v>Komicin</v>
          </cell>
          <cell r="D150">
            <v>3</v>
          </cell>
          <cell r="I150">
            <v>0</v>
          </cell>
        </row>
        <row r="151">
          <cell r="A151">
            <v>46148</v>
          </cell>
          <cell r="B151" t="str">
            <v>DeSnack</v>
          </cell>
          <cell r="D151">
            <v>3</v>
          </cell>
          <cell r="I151">
            <v>2</v>
          </cell>
        </row>
        <row r="152">
          <cell r="A152">
            <v>46148</v>
          </cell>
          <cell r="B152" t="str">
            <v>Macaroni</v>
          </cell>
          <cell r="D152">
            <v>3</v>
          </cell>
          <cell r="I152">
            <v>3</v>
          </cell>
        </row>
        <row r="153">
          <cell r="A153">
            <v>46148</v>
          </cell>
          <cell r="B153" t="str">
            <v>Cimol Kering</v>
          </cell>
          <cell r="D153">
            <v>3</v>
          </cell>
          <cell r="I153">
            <v>1</v>
          </cell>
        </row>
        <row r="154">
          <cell r="A154">
            <v>46148</v>
          </cell>
          <cell r="B154" t="str">
            <v>Popcorn Ori</v>
          </cell>
          <cell r="D154">
            <v>3</v>
          </cell>
          <cell r="I154">
            <v>2</v>
          </cell>
        </row>
        <row r="155">
          <cell r="A155">
            <v>46148</v>
          </cell>
          <cell r="B155" t="str">
            <v>Popcorn Rasa</v>
          </cell>
          <cell r="D155">
            <v>3</v>
          </cell>
          <cell r="I155">
            <v>2</v>
          </cell>
        </row>
        <row r="156">
          <cell r="A156">
            <v>46148</v>
          </cell>
          <cell r="B156" t="str">
            <v>Pop Mie Mini</v>
          </cell>
          <cell r="D156">
            <v>3</v>
          </cell>
          <cell r="I156">
            <v>0</v>
          </cell>
        </row>
        <row r="157">
          <cell r="A157">
            <v>46148</v>
          </cell>
          <cell r="B157" t="str">
            <v>Mie Gemez</v>
          </cell>
          <cell r="D157">
            <v>3</v>
          </cell>
          <cell r="I157">
            <v>4</v>
          </cell>
        </row>
        <row r="158">
          <cell r="A158">
            <v>46148</v>
          </cell>
          <cell r="B158" t="str">
            <v>Cheetos</v>
          </cell>
          <cell r="D158">
            <v>3</v>
          </cell>
          <cell r="I158">
            <v>2</v>
          </cell>
        </row>
        <row r="159">
          <cell r="A159">
            <v>46148</v>
          </cell>
          <cell r="B159" t="str">
            <v>Amplang</v>
          </cell>
          <cell r="D159">
            <v>3</v>
          </cell>
          <cell r="I159">
            <v>13</v>
          </cell>
        </row>
        <row r="160">
          <cell r="A160">
            <v>46148</v>
          </cell>
          <cell r="B160" t="str">
            <v>Pisang Sale</v>
          </cell>
          <cell r="D160">
            <v>3</v>
          </cell>
          <cell r="I160">
            <v>2</v>
          </cell>
        </row>
        <row r="161">
          <cell r="A161">
            <v>46148</v>
          </cell>
          <cell r="B161" t="str">
            <v>Kacang Disco</v>
          </cell>
          <cell r="D161">
            <v>3</v>
          </cell>
          <cell r="I161">
            <v>0</v>
          </cell>
        </row>
        <row r="162">
          <cell r="A162">
            <v>46148</v>
          </cell>
          <cell r="B162" t="str">
            <v>Sari gandum</v>
          </cell>
          <cell r="D162">
            <v>3</v>
          </cell>
          <cell r="I162">
            <v>4</v>
          </cell>
        </row>
        <row r="163">
          <cell r="A163">
            <v>46148</v>
          </cell>
          <cell r="B163" t="str">
            <v>Yogurt</v>
          </cell>
          <cell r="D163">
            <v>3</v>
          </cell>
          <cell r="I163">
            <v>5</v>
          </cell>
        </row>
        <row r="164">
          <cell r="A164">
            <v>46148</v>
          </cell>
          <cell r="B164" t="str">
            <v>Lemonilo chimi</v>
          </cell>
          <cell r="D164">
            <v>3</v>
          </cell>
          <cell r="I164">
            <v>0</v>
          </cell>
        </row>
        <row r="165">
          <cell r="A165">
            <v>46148</v>
          </cell>
          <cell r="B165" t="str">
            <v>Bawang Goreng</v>
          </cell>
          <cell r="D165">
            <v>8</v>
          </cell>
          <cell r="I165">
            <v>0</v>
          </cell>
        </row>
        <row r="166">
          <cell r="A166">
            <v>46148</v>
          </cell>
          <cell r="B166" t="str">
            <v>Keripik Tempe</v>
          </cell>
          <cell r="D166">
            <v>8</v>
          </cell>
          <cell r="I166">
            <v>5</v>
          </cell>
        </row>
        <row r="167">
          <cell r="A167">
            <v>46148</v>
          </cell>
          <cell r="B167" t="str">
            <v>Keripik Singkong</v>
          </cell>
          <cell r="D167">
            <v>8</v>
          </cell>
          <cell r="I167">
            <v>0</v>
          </cell>
        </row>
        <row r="168">
          <cell r="A168">
            <v>46148</v>
          </cell>
          <cell r="B168" t="str">
            <v>Kentang Mustofa Daun Jeruk</v>
          </cell>
          <cell r="D168">
            <v>8</v>
          </cell>
          <cell r="I168">
            <v>0</v>
          </cell>
        </row>
        <row r="169">
          <cell r="A169">
            <v>46148</v>
          </cell>
          <cell r="B169" t="str">
            <v>Komicin</v>
          </cell>
          <cell r="D169">
            <v>8</v>
          </cell>
          <cell r="I169">
            <v>0</v>
          </cell>
        </row>
        <row r="170">
          <cell r="A170">
            <v>46148</v>
          </cell>
          <cell r="B170" t="str">
            <v>DeSnack</v>
          </cell>
          <cell r="D170">
            <v>8</v>
          </cell>
          <cell r="I170">
            <v>2</v>
          </cell>
        </row>
        <row r="171">
          <cell r="A171">
            <v>46148</v>
          </cell>
          <cell r="B171" t="str">
            <v>Macaroni</v>
          </cell>
          <cell r="D171">
            <v>8</v>
          </cell>
          <cell r="I171">
            <v>0</v>
          </cell>
        </row>
        <row r="172">
          <cell r="A172">
            <v>46148</v>
          </cell>
          <cell r="B172" t="str">
            <v>Cimol Kering</v>
          </cell>
          <cell r="D172">
            <v>8</v>
          </cell>
          <cell r="I172">
            <v>1</v>
          </cell>
        </row>
        <row r="173">
          <cell r="A173">
            <v>46148</v>
          </cell>
          <cell r="B173" t="str">
            <v>Popcorn Ori</v>
          </cell>
          <cell r="D173">
            <v>8</v>
          </cell>
          <cell r="I173">
            <v>1</v>
          </cell>
        </row>
        <row r="174">
          <cell r="A174">
            <v>46148</v>
          </cell>
          <cell r="B174" t="str">
            <v>Popcorn Rasa</v>
          </cell>
          <cell r="D174">
            <v>8</v>
          </cell>
          <cell r="I174">
            <v>3</v>
          </cell>
        </row>
        <row r="175">
          <cell r="A175">
            <v>46148</v>
          </cell>
          <cell r="B175" t="str">
            <v>Pop Mie Mini</v>
          </cell>
          <cell r="D175">
            <v>8</v>
          </cell>
          <cell r="I175">
            <v>6</v>
          </cell>
        </row>
        <row r="176">
          <cell r="A176">
            <v>46148</v>
          </cell>
          <cell r="B176" t="str">
            <v>Mie Gemez</v>
          </cell>
          <cell r="D176">
            <v>8</v>
          </cell>
          <cell r="I176">
            <v>7</v>
          </cell>
        </row>
        <row r="177">
          <cell r="A177">
            <v>46148</v>
          </cell>
          <cell r="B177" t="str">
            <v>Cheetos</v>
          </cell>
          <cell r="D177">
            <v>8</v>
          </cell>
          <cell r="I177">
            <v>-2</v>
          </cell>
        </row>
        <row r="178">
          <cell r="A178">
            <v>46148</v>
          </cell>
          <cell r="B178" t="str">
            <v>Amplang</v>
          </cell>
          <cell r="D178">
            <v>8</v>
          </cell>
          <cell r="I178">
            <v>4</v>
          </cell>
        </row>
        <row r="179">
          <cell r="A179">
            <v>46148</v>
          </cell>
          <cell r="B179" t="str">
            <v>Pisang Sale</v>
          </cell>
          <cell r="D179">
            <v>8</v>
          </cell>
          <cell r="I179">
            <v>0</v>
          </cell>
        </row>
        <row r="180">
          <cell r="A180">
            <v>46148</v>
          </cell>
          <cell r="B180" t="str">
            <v>Kacang Disco</v>
          </cell>
          <cell r="D180">
            <v>8</v>
          </cell>
          <cell r="I180">
            <v>0</v>
          </cell>
        </row>
        <row r="181">
          <cell r="A181">
            <v>46148</v>
          </cell>
          <cell r="B181" t="str">
            <v>Sari gandum</v>
          </cell>
          <cell r="D181">
            <v>8</v>
          </cell>
          <cell r="I181">
            <v>1</v>
          </cell>
        </row>
        <row r="182">
          <cell r="A182">
            <v>46148</v>
          </cell>
          <cell r="B182" t="str">
            <v>Yogurt</v>
          </cell>
          <cell r="D182">
            <v>8</v>
          </cell>
          <cell r="I182">
            <v>5</v>
          </cell>
        </row>
        <row r="183">
          <cell r="A183">
            <v>46148</v>
          </cell>
          <cell r="B183" t="str">
            <v>Lemonilo chimi</v>
          </cell>
          <cell r="D183">
            <v>8</v>
          </cell>
          <cell r="I183">
            <v>0</v>
          </cell>
        </row>
        <row r="184">
          <cell r="A184">
            <v>46148</v>
          </cell>
          <cell r="B184" t="str">
            <v>Bawang Goreng</v>
          </cell>
          <cell r="D184">
            <v>9</v>
          </cell>
          <cell r="I184">
            <v>0</v>
          </cell>
        </row>
        <row r="185">
          <cell r="A185">
            <v>46148</v>
          </cell>
          <cell r="B185" t="str">
            <v>Keripik Tempe</v>
          </cell>
          <cell r="D185">
            <v>9</v>
          </cell>
          <cell r="I185">
            <v>5</v>
          </cell>
        </row>
        <row r="186">
          <cell r="A186">
            <v>46148</v>
          </cell>
          <cell r="B186" t="str">
            <v>Keripik Singkong</v>
          </cell>
          <cell r="D186">
            <v>9</v>
          </cell>
          <cell r="I186">
            <v>2</v>
          </cell>
        </row>
        <row r="187">
          <cell r="A187">
            <v>46148</v>
          </cell>
          <cell r="B187" t="str">
            <v>Kentang Mustofa Daun Jeruk</v>
          </cell>
          <cell r="D187">
            <v>9</v>
          </cell>
          <cell r="I187">
            <v>0</v>
          </cell>
        </row>
        <row r="188">
          <cell r="A188">
            <v>46148</v>
          </cell>
          <cell r="B188" t="str">
            <v>Komicin</v>
          </cell>
          <cell r="D188">
            <v>9</v>
          </cell>
          <cell r="I188">
            <v>0</v>
          </cell>
        </row>
        <row r="189">
          <cell r="A189">
            <v>46148</v>
          </cell>
          <cell r="B189" t="str">
            <v>DeSnack</v>
          </cell>
          <cell r="D189">
            <v>9</v>
          </cell>
          <cell r="I189">
            <v>4</v>
          </cell>
        </row>
        <row r="190">
          <cell r="A190">
            <v>46148</v>
          </cell>
          <cell r="B190" t="str">
            <v>Macaroni</v>
          </cell>
          <cell r="D190">
            <v>9</v>
          </cell>
          <cell r="I190">
            <v>1</v>
          </cell>
        </row>
        <row r="191">
          <cell r="A191">
            <v>46148</v>
          </cell>
          <cell r="B191" t="str">
            <v>Cimol Kering</v>
          </cell>
          <cell r="D191">
            <v>9</v>
          </cell>
          <cell r="I191">
            <v>0</v>
          </cell>
        </row>
        <row r="192">
          <cell r="A192">
            <v>46148</v>
          </cell>
          <cell r="B192" t="str">
            <v>Popcorn Ori</v>
          </cell>
          <cell r="D192">
            <v>9</v>
          </cell>
          <cell r="I192">
            <v>1</v>
          </cell>
        </row>
        <row r="193">
          <cell r="A193">
            <v>46148</v>
          </cell>
          <cell r="B193" t="str">
            <v>Popcorn Rasa</v>
          </cell>
          <cell r="D193">
            <v>9</v>
          </cell>
          <cell r="I193">
            <v>0</v>
          </cell>
        </row>
        <row r="194">
          <cell r="A194">
            <v>46148</v>
          </cell>
          <cell r="B194" t="str">
            <v>Pop Mie Mini</v>
          </cell>
          <cell r="D194">
            <v>9</v>
          </cell>
          <cell r="I194">
            <v>8</v>
          </cell>
        </row>
        <row r="195">
          <cell r="A195">
            <v>46148</v>
          </cell>
          <cell r="B195" t="str">
            <v>Mie Gemez</v>
          </cell>
          <cell r="D195">
            <v>9</v>
          </cell>
          <cell r="I195">
            <v>0</v>
          </cell>
        </row>
        <row r="196">
          <cell r="A196">
            <v>46148</v>
          </cell>
          <cell r="B196" t="str">
            <v>Cheetos</v>
          </cell>
          <cell r="D196">
            <v>9</v>
          </cell>
          <cell r="I196">
            <v>6</v>
          </cell>
        </row>
        <row r="197">
          <cell r="A197">
            <v>46148</v>
          </cell>
          <cell r="B197" t="str">
            <v>Amplang</v>
          </cell>
          <cell r="D197">
            <v>9</v>
          </cell>
          <cell r="I197">
            <v>5</v>
          </cell>
        </row>
        <row r="198">
          <cell r="A198">
            <v>46148</v>
          </cell>
          <cell r="B198" t="str">
            <v>Pisang Sale</v>
          </cell>
          <cell r="D198">
            <v>9</v>
          </cell>
          <cell r="I198">
            <v>0</v>
          </cell>
        </row>
        <row r="199">
          <cell r="A199">
            <v>46148</v>
          </cell>
          <cell r="B199" t="str">
            <v>Kacang Disco</v>
          </cell>
          <cell r="D199">
            <v>9</v>
          </cell>
          <cell r="I199">
            <v>3</v>
          </cell>
        </row>
        <row r="200">
          <cell r="A200">
            <v>46148</v>
          </cell>
          <cell r="B200" t="str">
            <v>Sari gandum</v>
          </cell>
          <cell r="D200">
            <v>9</v>
          </cell>
          <cell r="I200">
            <v>3</v>
          </cell>
        </row>
        <row r="201">
          <cell r="A201">
            <v>46148</v>
          </cell>
          <cell r="B201" t="str">
            <v>Yogurt</v>
          </cell>
          <cell r="D201">
            <v>9</v>
          </cell>
          <cell r="I201">
            <v>5</v>
          </cell>
        </row>
        <row r="202">
          <cell r="A202">
            <v>46148</v>
          </cell>
          <cell r="B202" t="str">
            <v>Lemonilo chimi</v>
          </cell>
          <cell r="D202">
            <v>9</v>
          </cell>
          <cell r="I202">
            <v>9</v>
          </cell>
        </row>
        <row r="203">
          <cell r="A203">
            <v>46149</v>
          </cell>
          <cell r="B203" t="str">
            <v>Bawang Goreng</v>
          </cell>
          <cell r="D203">
            <v>3</v>
          </cell>
          <cell r="I203">
            <v>3</v>
          </cell>
        </row>
        <row r="204">
          <cell r="A204">
            <v>46149</v>
          </cell>
          <cell r="B204" t="str">
            <v>Keripik Tempe</v>
          </cell>
          <cell r="D204">
            <v>3</v>
          </cell>
          <cell r="I204">
            <v>0</v>
          </cell>
        </row>
        <row r="205">
          <cell r="A205">
            <v>46149</v>
          </cell>
          <cell r="B205" t="str">
            <v>Keripik Singkong</v>
          </cell>
          <cell r="D205">
            <v>3</v>
          </cell>
          <cell r="I205">
            <v>0</v>
          </cell>
        </row>
        <row r="206">
          <cell r="A206">
            <v>46149</v>
          </cell>
          <cell r="B206" t="str">
            <v>Kentang Mustofa Daun Jeruk</v>
          </cell>
          <cell r="D206">
            <v>3</v>
          </cell>
          <cell r="I206">
            <v>0</v>
          </cell>
        </row>
        <row r="207">
          <cell r="A207">
            <v>46149</v>
          </cell>
          <cell r="B207" t="str">
            <v>Komicin</v>
          </cell>
          <cell r="D207">
            <v>3</v>
          </cell>
          <cell r="I207">
            <v>0</v>
          </cell>
        </row>
        <row r="208">
          <cell r="A208">
            <v>46149</v>
          </cell>
          <cell r="B208" t="str">
            <v>DeSnack</v>
          </cell>
          <cell r="D208">
            <v>3</v>
          </cell>
          <cell r="I208">
            <v>5</v>
          </cell>
        </row>
        <row r="209">
          <cell r="A209">
            <v>46149</v>
          </cell>
          <cell r="B209" t="str">
            <v>Macaroni</v>
          </cell>
          <cell r="D209">
            <v>3</v>
          </cell>
          <cell r="I209">
            <v>0</v>
          </cell>
        </row>
        <row r="210">
          <cell r="A210">
            <v>46149</v>
          </cell>
          <cell r="B210" t="str">
            <v>Cimol Kering</v>
          </cell>
          <cell r="D210">
            <v>3</v>
          </cell>
          <cell r="I210">
            <v>0</v>
          </cell>
        </row>
        <row r="211">
          <cell r="A211">
            <v>46149</v>
          </cell>
          <cell r="B211" t="str">
            <v>Popcorn Ori</v>
          </cell>
          <cell r="D211">
            <v>3</v>
          </cell>
          <cell r="I211">
            <v>0</v>
          </cell>
        </row>
        <row r="212">
          <cell r="A212">
            <v>46149</v>
          </cell>
          <cell r="B212" t="str">
            <v>Popcorn Rasa</v>
          </cell>
          <cell r="D212">
            <v>3</v>
          </cell>
          <cell r="I212">
            <v>1</v>
          </cell>
        </row>
        <row r="213">
          <cell r="A213">
            <v>46149</v>
          </cell>
          <cell r="B213" t="str">
            <v>Pop Mie Mini</v>
          </cell>
          <cell r="D213">
            <v>3</v>
          </cell>
          <cell r="I213">
            <v>0</v>
          </cell>
        </row>
        <row r="214">
          <cell r="A214">
            <v>46149</v>
          </cell>
          <cell r="B214" t="str">
            <v>Mie Gemez</v>
          </cell>
          <cell r="D214">
            <v>3</v>
          </cell>
          <cell r="I214">
            <v>6</v>
          </cell>
        </row>
        <row r="215">
          <cell r="A215">
            <v>46149</v>
          </cell>
          <cell r="B215" t="str">
            <v>Cheetos</v>
          </cell>
          <cell r="D215">
            <v>3</v>
          </cell>
          <cell r="I215">
            <v>0</v>
          </cell>
        </row>
        <row r="216">
          <cell r="A216">
            <v>46149</v>
          </cell>
          <cell r="B216" t="str">
            <v>Amplang</v>
          </cell>
          <cell r="D216">
            <v>3</v>
          </cell>
          <cell r="I216">
            <v>1</v>
          </cell>
        </row>
        <row r="217">
          <cell r="A217">
            <v>46149</v>
          </cell>
          <cell r="B217" t="str">
            <v>Pisang Sale</v>
          </cell>
          <cell r="D217">
            <v>3</v>
          </cell>
          <cell r="I217">
            <v>0</v>
          </cell>
        </row>
        <row r="218">
          <cell r="A218">
            <v>46149</v>
          </cell>
          <cell r="B218" t="str">
            <v>Kacang Disco</v>
          </cell>
          <cell r="D218">
            <v>3</v>
          </cell>
          <cell r="I218">
            <v>0</v>
          </cell>
        </row>
        <row r="219">
          <cell r="A219">
            <v>46149</v>
          </cell>
          <cell r="B219" t="str">
            <v>Sari gandum</v>
          </cell>
          <cell r="D219">
            <v>3</v>
          </cell>
          <cell r="I219">
            <v>1</v>
          </cell>
        </row>
        <row r="220">
          <cell r="A220">
            <v>46149</v>
          </cell>
          <cell r="B220" t="str">
            <v>Yogurt</v>
          </cell>
          <cell r="D220">
            <v>3</v>
          </cell>
          <cell r="I220">
            <v>0</v>
          </cell>
        </row>
        <row r="221">
          <cell r="A221">
            <v>46149</v>
          </cell>
          <cell r="B221" t="str">
            <v>Lemonilo chimi</v>
          </cell>
          <cell r="D221">
            <v>3</v>
          </cell>
          <cell r="I221">
            <v>3</v>
          </cell>
        </row>
        <row r="222">
          <cell r="A222">
            <v>46149</v>
          </cell>
          <cell r="B222" t="str">
            <v>Bawang Goreng</v>
          </cell>
          <cell r="D222">
            <v>8</v>
          </cell>
          <cell r="I222">
            <v>1</v>
          </cell>
        </row>
        <row r="223">
          <cell r="A223">
            <v>46149</v>
          </cell>
          <cell r="B223" t="str">
            <v>Keripik Tempe</v>
          </cell>
          <cell r="D223">
            <v>8</v>
          </cell>
          <cell r="I223">
            <v>0</v>
          </cell>
        </row>
        <row r="224">
          <cell r="A224">
            <v>46149</v>
          </cell>
          <cell r="B224" t="str">
            <v>Keripik Singkong</v>
          </cell>
          <cell r="D224">
            <v>8</v>
          </cell>
          <cell r="I224">
            <v>0</v>
          </cell>
        </row>
        <row r="225">
          <cell r="A225">
            <v>46149</v>
          </cell>
          <cell r="B225" t="str">
            <v>Kentang Mustofa Daun Jeruk</v>
          </cell>
          <cell r="D225">
            <v>8</v>
          </cell>
          <cell r="I225">
            <v>0</v>
          </cell>
        </row>
        <row r="226">
          <cell r="A226">
            <v>46149</v>
          </cell>
          <cell r="B226" t="str">
            <v>Komicin</v>
          </cell>
          <cell r="D226">
            <v>8</v>
          </cell>
          <cell r="I226">
            <v>0</v>
          </cell>
        </row>
        <row r="227">
          <cell r="A227">
            <v>46149</v>
          </cell>
          <cell r="B227" t="str">
            <v>DeSnack</v>
          </cell>
          <cell r="D227">
            <v>8</v>
          </cell>
          <cell r="I227">
            <v>1</v>
          </cell>
        </row>
        <row r="228">
          <cell r="A228">
            <v>46149</v>
          </cell>
          <cell r="B228" t="str">
            <v>Macaroni</v>
          </cell>
          <cell r="D228">
            <v>8</v>
          </cell>
          <cell r="I228">
            <v>0</v>
          </cell>
        </row>
        <row r="229">
          <cell r="A229">
            <v>46149</v>
          </cell>
          <cell r="B229" t="str">
            <v>Cimol Kering</v>
          </cell>
          <cell r="D229">
            <v>8</v>
          </cell>
          <cell r="I229">
            <v>0</v>
          </cell>
        </row>
        <row r="230">
          <cell r="A230">
            <v>46149</v>
          </cell>
          <cell r="B230" t="str">
            <v>Popcorn Ori</v>
          </cell>
          <cell r="D230">
            <v>8</v>
          </cell>
          <cell r="I230">
            <v>0</v>
          </cell>
        </row>
        <row r="231">
          <cell r="A231">
            <v>46149</v>
          </cell>
          <cell r="B231" t="str">
            <v>Popcorn Rasa</v>
          </cell>
          <cell r="D231">
            <v>8</v>
          </cell>
          <cell r="I231">
            <v>2</v>
          </cell>
        </row>
        <row r="232">
          <cell r="A232">
            <v>46149</v>
          </cell>
          <cell r="B232" t="str">
            <v>Pop Mie Mini</v>
          </cell>
          <cell r="D232">
            <v>8</v>
          </cell>
          <cell r="I232">
            <v>0</v>
          </cell>
        </row>
        <row r="233">
          <cell r="A233">
            <v>46149</v>
          </cell>
          <cell r="B233" t="str">
            <v>Mie Gemez</v>
          </cell>
          <cell r="D233">
            <v>8</v>
          </cell>
          <cell r="I233">
            <v>1</v>
          </cell>
        </row>
        <row r="234">
          <cell r="A234">
            <v>46149</v>
          </cell>
          <cell r="B234" t="str">
            <v>Cheetos</v>
          </cell>
          <cell r="D234">
            <v>8</v>
          </cell>
          <cell r="I234">
            <v>4</v>
          </cell>
        </row>
        <row r="235">
          <cell r="A235">
            <v>46149</v>
          </cell>
          <cell r="B235" t="str">
            <v>Amplang</v>
          </cell>
          <cell r="D235">
            <v>8</v>
          </cell>
          <cell r="I235">
            <v>3</v>
          </cell>
        </row>
        <row r="236">
          <cell r="A236">
            <v>46149</v>
          </cell>
          <cell r="B236" t="str">
            <v>Pisang Sale</v>
          </cell>
          <cell r="D236">
            <v>8</v>
          </cell>
          <cell r="I236">
            <v>0</v>
          </cell>
        </row>
        <row r="237">
          <cell r="A237">
            <v>46149</v>
          </cell>
          <cell r="B237" t="str">
            <v>Kacang Disco</v>
          </cell>
          <cell r="D237">
            <v>8</v>
          </cell>
          <cell r="I237">
            <v>1</v>
          </cell>
        </row>
        <row r="238">
          <cell r="A238">
            <v>46149</v>
          </cell>
          <cell r="B238" t="str">
            <v>Sari gandum</v>
          </cell>
          <cell r="D238">
            <v>8</v>
          </cell>
          <cell r="I238">
            <v>2</v>
          </cell>
        </row>
        <row r="239">
          <cell r="A239">
            <v>46149</v>
          </cell>
          <cell r="B239" t="str">
            <v>Yogurt</v>
          </cell>
          <cell r="D239">
            <v>8</v>
          </cell>
          <cell r="I239">
            <v>0</v>
          </cell>
        </row>
        <row r="240">
          <cell r="A240">
            <v>46149</v>
          </cell>
          <cell r="B240" t="str">
            <v>Lemonilo chimi</v>
          </cell>
          <cell r="D240">
            <v>8</v>
          </cell>
          <cell r="I240">
            <v>0</v>
          </cell>
        </row>
        <row r="241">
          <cell r="A241">
            <v>46149</v>
          </cell>
          <cell r="B241" t="str">
            <v>Bawang Goreng</v>
          </cell>
          <cell r="D241">
            <v>9</v>
          </cell>
          <cell r="I241">
            <v>1</v>
          </cell>
        </row>
        <row r="242">
          <cell r="A242">
            <v>46149</v>
          </cell>
          <cell r="B242" t="str">
            <v>Keripik Tempe</v>
          </cell>
          <cell r="D242">
            <v>9</v>
          </cell>
          <cell r="I242">
            <v>4</v>
          </cell>
        </row>
        <row r="243">
          <cell r="A243">
            <v>46149</v>
          </cell>
          <cell r="B243" t="str">
            <v>Keripik Singkong</v>
          </cell>
          <cell r="D243">
            <v>9</v>
          </cell>
          <cell r="I243">
            <v>0</v>
          </cell>
        </row>
        <row r="244">
          <cell r="A244">
            <v>46149</v>
          </cell>
          <cell r="B244" t="str">
            <v>Kentang Mustofa Daun Jeruk</v>
          </cell>
          <cell r="D244">
            <v>9</v>
          </cell>
          <cell r="I244">
            <v>0</v>
          </cell>
        </row>
        <row r="245">
          <cell r="A245">
            <v>46149</v>
          </cell>
          <cell r="B245" t="str">
            <v>Komicin</v>
          </cell>
          <cell r="D245">
            <v>9</v>
          </cell>
          <cell r="I245">
            <v>0</v>
          </cell>
        </row>
        <row r="246">
          <cell r="A246">
            <v>46149</v>
          </cell>
          <cell r="B246" t="str">
            <v>DeSnack</v>
          </cell>
          <cell r="D246">
            <v>9</v>
          </cell>
          <cell r="I246">
            <v>2</v>
          </cell>
        </row>
        <row r="247">
          <cell r="A247">
            <v>46149</v>
          </cell>
          <cell r="B247" t="str">
            <v>Macaroni</v>
          </cell>
          <cell r="D247">
            <v>9</v>
          </cell>
          <cell r="I247">
            <v>0</v>
          </cell>
        </row>
        <row r="248">
          <cell r="A248">
            <v>46149</v>
          </cell>
          <cell r="B248" t="str">
            <v>Cimol Kering</v>
          </cell>
          <cell r="D248">
            <v>9</v>
          </cell>
          <cell r="I248">
            <v>0</v>
          </cell>
        </row>
        <row r="249">
          <cell r="A249">
            <v>46149</v>
          </cell>
          <cell r="B249" t="str">
            <v>Popcorn Ori</v>
          </cell>
          <cell r="D249">
            <v>9</v>
          </cell>
          <cell r="I249">
            <v>0</v>
          </cell>
        </row>
        <row r="250">
          <cell r="A250">
            <v>46149</v>
          </cell>
          <cell r="B250" t="str">
            <v>Popcorn Rasa</v>
          </cell>
          <cell r="D250">
            <v>9</v>
          </cell>
          <cell r="I250">
            <v>1</v>
          </cell>
        </row>
        <row r="251">
          <cell r="A251">
            <v>46149</v>
          </cell>
          <cell r="B251" t="str">
            <v>Pop Mie Mini</v>
          </cell>
          <cell r="D251">
            <v>9</v>
          </cell>
          <cell r="I251">
            <v>0</v>
          </cell>
        </row>
        <row r="252">
          <cell r="A252">
            <v>46149</v>
          </cell>
          <cell r="B252" t="str">
            <v>Mie Gemez</v>
          </cell>
          <cell r="D252">
            <v>9</v>
          </cell>
          <cell r="I252">
            <v>0</v>
          </cell>
        </row>
        <row r="253">
          <cell r="A253">
            <v>46149</v>
          </cell>
          <cell r="B253" t="str">
            <v>Cheetos</v>
          </cell>
          <cell r="D253">
            <v>9</v>
          </cell>
          <cell r="I253">
            <v>0</v>
          </cell>
        </row>
        <row r="254">
          <cell r="A254">
            <v>46149</v>
          </cell>
          <cell r="B254" t="str">
            <v>Amplang</v>
          </cell>
          <cell r="D254">
            <v>9</v>
          </cell>
          <cell r="I254">
            <v>2</v>
          </cell>
        </row>
        <row r="255">
          <cell r="A255">
            <v>46149</v>
          </cell>
          <cell r="B255" t="str">
            <v>Pisang Sale</v>
          </cell>
          <cell r="D255">
            <v>9</v>
          </cell>
          <cell r="I255">
            <v>0</v>
          </cell>
        </row>
        <row r="256">
          <cell r="A256">
            <v>46149</v>
          </cell>
          <cell r="B256" t="str">
            <v>Kacang Disco</v>
          </cell>
          <cell r="D256">
            <v>9</v>
          </cell>
          <cell r="I256">
            <v>3</v>
          </cell>
        </row>
        <row r="257">
          <cell r="A257">
            <v>46149</v>
          </cell>
          <cell r="B257" t="str">
            <v>Sari gandum</v>
          </cell>
          <cell r="D257">
            <v>9</v>
          </cell>
          <cell r="I257">
            <v>1</v>
          </cell>
        </row>
        <row r="258">
          <cell r="A258">
            <v>46149</v>
          </cell>
          <cell r="B258" t="str">
            <v>Yogurt</v>
          </cell>
          <cell r="D258">
            <v>9</v>
          </cell>
          <cell r="I258">
            <v>0</v>
          </cell>
        </row>
        <row r="259">
          <cell r="A259">
            <v>46149</v>
          </cell>
          <cell r="B259" t="str">
            <v>Lemonilo chimi</v>
          </cell>
          <cell r="D259">
            <v>9</v>
          </cell>
          <cell r="I259">
            <v>9</v>
          </cell>
        </row>
        <row r="260">
          <cell r="A260">
            <v>46153</v>
          </cell>
          <cell r="B260" t="str">
            <v>Bawang Goreng</v>
          </cell>
          <cell r="D260">
            <v>3</v>
          </cell>
          <cell r="I260">
            <v>0</v>
          </cell>
        </row>
        <row r="261">
          <cell r="A261">
            <v>46153</v>
          </cell>
          <cell r="B261" t="str">
            <v>Keripik Tempe</v>
          </cell>
          <cell r="D261">
            <v>3</v>
          </cell>
          <cell r="I261">
            <v>0</v>
          </cell>
        </row>
        <row r="262">
          <cell r="A262">
            <v>46153</v>
          </cell>
          <cell r="B262" t="str">
            <v>Keripik Singkong</v>
          </cell>
          <cell r="D262">
            <v>3</v>
          </cell>
          <cell r="I262">
            <v>2</v>
          </cell>
        </row>
        <row r="263">
          <cell r="A263">
            <v>46153</v>
          </cell>
          <cell r="B263" t="str">
            <v>Kentang Mustofa Daun Jeruk</v>
          </cell>
          <cell r="D263">
            <v>3</v>
          </cell>
          <cell r="I263">
            <v>3</v>
          </cell>
        </row>
        <row r="264">
          <cell r="A264">
            <v>46153</v>
          </cell>
          <cell r="B264" t="str">
            <v>Komicin</v>
          </cell>
          <cell r="D264">
            <v>3</v>
          </cell>
          <cell r="I264">
            <v>0</v>
          </cell>
        </row>
        <row r="265">
          <cell r="A265">
            <v>46153</v>
          </cell>
          <cell r="B265" t="str">
            <v>DeSnack</v>
          </cell>
          <cell r="D265">
            <v>3</v>
          </cell>
          <cell r="I265">
            <v>1</v>
          </cell>
        </row>
        <row r="266">
          <cell r="A266">
            <v>46153</v>
          </cell>
          <cell r="B266" t="str">
            <v>JajanYuk 18</v>
          </cell>
          <cell r="D266">
            <v>3</v>
          </cell>
          <cell r="I266">
            <v>4</v>
          </cell>
        </row>
        <row r="267">
          <cell r="A267">
            <v>46153</v>
          </cell>
          <cell r="B267" t="str">
            <v>JajanYuk 21</v>
          </cell>
          <cell r="D267">
            <v>3</v>
          </cell>
          <cell r="I267">
            <v>2</v>
          </cell>
        </row>
        <row r="268">
          <cell r="A268">
            <v>46153</v>
          </cell>
          <cell r="B268" t="str">
            <v>Popcorn ori</v>
          </cell>
          <cell r="D268">
            <v>3</v>
          </cell>
          <cell r="I268">
            <v>0</v>
          </cell>
        </row>
        <row r="269">
          <cell r="A269">
            <v>46153</v>
          </cell>
          <cell r="B269" t="str">
            <v>Popcorn Rasa</v>
          </cell>
          <cell r="D269">
            <v>3</v>
          </cell>
          <cell r="I269">
            <v>1</v>
          </cell>
        </row>
        <row r="270">
          <cell r="A270">
            <v>46153</v>
          </cell>
          <cell r="B270" t="str">
            <v>Pop Mie Mini</v>
          </cell>
          <cell r="D270">
            <v>3</v>
          </cell>
          <cell r="I270">
            <v>0</v>
          </cell>
        </row>
        <row r="271">
          <cell r="A271">
            <v>46153</v>
          </cell>
          <cell r="B271" t="str">
            <v>Mie Gemez</v>
          </cell>
          <cell r="D271">
            <v>3</v>
          </cell>
          <cell r="I271">
            <v>6</v>
          </cell>
        </row>
        <row r="272">
          <cell r="A272">
            <v>46153</v>
          </cell>
          <cell r="B272" t="str">
            <v>Cheetos</v>
          </cell>
          <cell r="D272">
            <v>3</v>
          </cell>
          <cell r="I272">
            <v>7</v>
          </cell>
        </row>
        <row r="273">
          <cell r="A273">
            <v>46153</v>
          </cell>
          <cell r="B273" t="str">
            <v>Amplang</v>
          </cell>
          <cell r="D273">
            <v>3</v>
          </cell>
          <cell r="I273">
            <v>0</v>
          </cell>
        </row>
        <row r="274">
          <cell r="A274">
            <v>46153</v>
          </cell>
          <cell r="B274" t="str">
            <v>Pisang Sale</v>
          </cell>
          <cell r="D274">
            <v>3</v>
          </cell>
          <cell r="I274">
            <v>10</v>
          </cell>
        </row>
        <row r="275">
          <cell r="A275">
            <v>46153</v>
          </cell>
          <cell r="B275" t="str">
            <v>Kacang Disco</v>
          </cell>
          <cell r="D275">
            <v>3</v>
          </cell>
          <cell r="I275">
            <v>5</v>
          </cell>
        </row>
        <row r="276">
          <cell r="A276">
            <v>46153</v>
          </cell>
          <cell r="B276" t="str">
            <v>Sari gandum</v>
          </cell>
          <cell r="D276">
            <v>3</v>
          </cell>
          <cell r="I276">
            <v>3</v>
          </cell>
        </row>
        <row r="277">
          <cell r="A277">
            <v>46153</v>
          </cell>
          <cell r="B277" t="str">
            <v>Yogurt</v>
          </cell>
          <cell r="D277">
            <v>3</v>
          </cell>
          <cell r="I277">
            <v>3</v>
          </cell>
        </row>
        <row r="278">
          <cell r="A278">
            <v>46153</v>
          </cell>
          <cell r="B278" t="str">
            <v>Lemonilo chimi</v>
          </cell>
          <cell r="D278">
            <v>3</v>
          </cell>
          <cell r="I278">
            <v>2</v>
          </cell>
        </row>
        <row r="279">
          <cell r="A279">
            <v>46153</v>
          </cell>
          <cell r="B279" t="str">
            <v>PopMie besar</v>
          </cell>
          <cell r="D279">
            <v>3</v>
          </cell>
          <cell r="I279">
            <v>4</v>
          </cell>
        </row>
        <row r="280">
          <cell r="A280">
            <v>46153</v>
          </cell>
          <cell r="B280" t="str">
            <v>YouC</v>
          </cell>
          <cell r="D280">
            <v>3</v>
          </cell>
          <cell r="I280">
            <v>2</v>
          </cell>
        </row>
        <row r="281">
          <cell r="A281">
            <v>46153</v>
          </cell>
          <cell r="B281" t="str">
            <v>Bawang Goreng</v>
          </cell>
          <cell r="D281">
            <v>8</v>
          </cell>
          <cell r="I281">
            <v>0</v>
          </cell>
        </row>
        <row r="282">
          <cell r="A282">
            <v>46153</v>
          </cell>
          <cell r="B282" t="str">
            <v>Keripik Tempe</v>
          </cell>
          <cell r="D282">
            <v>8</v>
          </cell>
          <cell r="I282">
            <v>0</v>
          </cell>
        </row>
        <row r="283">
          <cell r="A283">
            <v>46153</v>
          </cell>
          <cell r="B283" t="str">
            <v>Keripik Singkong</v>
          </cell>
          <cell r="D283">
            <v>8</v>
          </cell>
          <cell r="I283">
            <v>0</v>
          </cell>
        </row>
        <row r="284">
          <cell r="A284">
            <v>46153</v>
          </cell>
          <cell r="B284" t="str">
            <v>Kentang Mustofa Daun Jeruk</v>
          </cell>
          <cell r="D284">
            <v>8</v>
          </cell>
          <cell r="I284">
            <v>0</v>
          </cell>
        </row>
        <row r="285">
          <cell r="A285">
            <v>46153</v>
          </cell>
          <cell r="B285" t="str">
            <v>Komicin</v>
          </cell>
          <cell r="D285">
            <v>8</v>
          </cell>
          <cell r="I285">
            <v>0</v>
          </cell>
        </row>
        <row r="286">
          <cell r="A286">
            <v>46153</v>
          </cell>
          <cell r="B286" t="str">
            <v>DeSnack</v>
          </cell>
          <cell r="D286">
            <v>8</v>
          </cell>
          <cell r="I286">
            <v>2</v>
          </cell>
        </row>
        <row r="287">
          <cell r="A287">
            <v>46153</v>
          </cell>
          <cell r="B287" t="str">
            <v>JajanYuk 18</v>
          </cell>
          <cell r="D287">
            <v>8</v>
          </cell>
          <cell r="I287">
            <v>0</v>
          </cell>
        </row>
        <row r="288">
          <cell r="A288">
            <v>46153</v>
          </cell>
          <cell r="B288" t="str">
            <v>JajanYuk 21</v>
          </cell>
          <cell r="D288">
            <v>8</v>
          </cell>
          <cell r="I288">
            <v>0</v>
          </cell>
        </row>
        <row r="289">
          <cell r="A289">
            <v>46153</v>
          </cell>
          <cell r="B289" t="str">
            <v>Popcorn ori</v>
          </cell>
          <cell r="D289">
            <v>8</v>
          </cell>
          <cell r="I289">
            <v>0</v>
          </cell>
        </row>
        <row r="290">
          <cell r="A290">
            <v>46153</v>
          </cell>
          <cell r="B290" t="str">
            <v>Popcorn Rasa</v>
          </cell>
          <cell r="D290">
            <v>8</v>
          </cell>
          <cell r="I290">
            <v>0</v>
          </cell>
        </row>
        <row r="291">
          <cell r="A291">
            <v>46153</v>
          </cell>
          <cell r="B291" t="str">
            <v>Pop Mie Mini</v>
          </cell>
          <cell r="D291">
            <v>8</v>
          </cell>
          <cell r="I291">
            <v>2</v>
          </cell>
        </row>
        <row r="292">
          <cell r="A292">
            <v>46153</v>
          </cell>
          <cell r="B292" t="str">
            <v>Mie Gemez</v>
          </cell>
          <cell r="D292">
            <v>8</v>
          </cell>
          <cell r="I292">
            <v>1</v>
          </cell>
        </row>
        <row r="293">
          <cell r="A293">
            <v>46153</v>
          </cell>
          <cell r="B293" t="str">
            <v>Cheetos</v>
          </cell>
          <cell r="D293">
            <v>8</v>
          </cell>
          <cell r="I293">
            <v>10</v>
          </cell>
        </row>
        <row r="294">
          <cell r="A294">
            <v>46153</v>
          </cell>
          <cell r="B294" t="str">
            <v>Amplang</v>
          </cell>
          <cell r="D294">
            <v>8</v>
          </cell>
          <cell r="I294">
            <v>3</v>
          </cell>
        </row>
        <row r="295">
          <cell r="A295">
            <v>46153</v>
          </cell>
          <cell r="B295" t="str">
            <v>Pisang Sale</v>
          </cell>
          <cell r="D295">
            <v>8</v>
          </cell>
          <cell r="I295">
            <v>2</v>
          </cell>
        </row>
        <row r="296">
          <cell r="A296">
            <v>46153</v>
          </cell>
          <cell r="B296" t="str">
            <v>Kacang Disco</v>
          </cell>
          <cell r="D296">
            <v>8</v>
          </cell>
          <cell r="I296">
            <v>0</v>
          </cell>
        </row>
        <row r="297">
          <cell r="A297">
            <v>46153</v>
          </cell>
          <cell r="B297" t="str">
            <v>Sari gandum</v>
          </cell>
          <cell r="D297">
            <v>8</v>
          </cell>
          <cell r="I297">
            <v>3</v>
          </cell>
        </row>
        <row r="298">
          <cell r="A298">
            <v>46153</v>
          </cell>
          <cell r="B298" t="str">
            <v>Yogurt</v>
          </cell>
          <cell r="D298">
            <v>8</v>
          </cell>
          <cell r="I298">
            <v>0</v>
          </cell>
        </row>
        <row r="299">
          <cell r="A299">
            <v>46153</v>
          </cell>
          <cell r="B299" t="str">
            <v>Lemonilo chimi</v>
          </cell>
          <cell r="D299">
            <v>8</v>
          </cell>
          <cell r="I299">
            <v>2</v>
          </cell>
        </row>
        <row r="300">
          <cell r="A300">
            <v>46153</v>
          </cell>
          <cell r="B300" t="str">
            <v>PopMie besar</v>
          </cell>
          <cell r="D300">
            <v>8</v>
          </cell>
          <cell r="I300">
            <v>5</v>
          </cell>
        </row>
        <row r="301">
          <cell r="A301">
            <v>46153</v>
          </cell>
          <cell r="B301" t="str">
            <v>YouC</v>
          </cell>
          <cell r="D301">
            <v>8</v>
          </cell>
          <cell r="I301">
            <v>0</v>
          </cell>
        </row>
        <row r="302">
          <cell r="A302">
            <v>46153</v>
          </cell>
          <cell r="B302" t="str">
            <v>Bawang Goreng</v>
          </cell>
          <cell r="D302">
            <v>9</v>
          </cell>
          <cell r="I302">
            <v>0</v>
          </cell>
        </row>
        <row r="303">
          <cell r="A303">
            <v>46153</v>
          </cell>
          <cell r="B303" t="str">
            <v>Keripik Tempe</v>
          </cell>
          <cell r="D303">
            <v>9</v>
          </cell>
          <cell r="I303">
            <v>0</v>
          </cell>
        </row>
        <row r="304">
          <cell r="A304">
            <v>46153</v>
          </cell>
          <cell r="B304" t="str">
            <v>Keripik Singkong</v>
          </cell>
          <cell r="D304">
            <v>9</v>
          </cell>
          <cell r="I304">
            <v>0</v>
          </cell>
        </row>
        <row r="305">
          <cell r="A305">
            <v>46153</v>
          </cell>
          <cell r="B305" t="str">
            <v>Kentang Mustofa Daun Jeruk</v>
          </cell>
          <cell r="D305">
            <v>9</v>
          </cell>
          <cell r="I305">
            <v>0</v>
          </cell>
        </row>
        <row r="306">
          <cell r="A306">
            <v>46153</v>
          </cell>
          <cell r="B306" t="str">
            <v>Komicin</v>
          </cell>
          <cell r="D306">
            <v>9</v>
          </cell>
          <cell r="I306">
            <v>0</v>
          </cell>
        </row>
        <row r="307">
          <cell r="A307">
            <v>46153</v>
          </cell>
          <cell r="B307" t="str">
            <v>DeSnack</v>
          </cell>
          <cell r="D307">
            <v>9</v>
          </cell>
          <cell r="I307">
            <v>3</v>
          </cell>
        </row>
        <row r="308">
          <cell r="A308">
            <v>46153</v>
          </cell>
          <cell r="B308" t="str">
            <v>JajanYuk 18</v>
          </cell>
          <cell r="D308">
            <v>9</v>
          </cell>
          <cell r="I308">
            <v>4</v>
          </cell>
        </row>
        <row r="309">
          <cell r="A309">
            <v>46153</v>
          </cell>
          <cell r="B309" t="str">
            <v>JajanYuk 21</v>
          </cell>
          <cell r="D309">
            <v>9</v>
          </cell>
          <cell r="I309">
            <v>2</v>
          </cell>
        </row>
        <row r="310">
          <cell r="A310">
            <v>46153</v>
          </cell>
          <cell r="B310" t="str">
            <v>Popcorn ori</v>
          </cell>
          <cell r="D310">
            <v>9</v>
          </cell>
          <cell r="I310">
            <v>0</v>
          </cell>
        </row>
        <row r="311">
          <cell r="A311">
            <v>46153</v>
          </cell>
          <cell r="B311" t="str">
            <v>Popcorn Rasa</v>
          </cell>
          <cell r="D311">
            <v>9</v>
          </cell>
          <cell r="I311">
            <v>1</v>
          </cell>
        </row>
        <row r="312">
          <cell r="A312">
            <v>46153</v>
          </cell>
          <cell r="B312" t="str">
            <v>Pop Mie Mini</v>
          </cell>
          <cell r="D312">
            <v>9</v>
          </cell>
          <cell r="I312">
            <v>1</v>
          </cell>
        </row>
        <row r="313">
          <cell r="A313">
            <v>46153</v>
          </cell>
          <cell r="B313" t="str">
            <v>Mie Gemez</v>
          </cell>
          <cell r="D313">
            <v>9</v>
          </cell>
          <cell r="I313">
            <v>6</v>
          </cell>
        </row>
        <row r="314">
          <cell r="A314">
            <v>46153</v>
          </cell>
          <cell r="B314" t="str">
            <v>Cheetos</v>
          </cell>
          <cell r="D314">
            <v>9</v>
          </cell>
          <cell r="I314">
            <v>7</v>
          </cell>
        </row>
        <row r="315">
          <cell r="A315">
            <v>46153</v>
          </cell>
          <cell r="B315" t="str">
            <v>Amplang</v>
          </cell>
          <cell r="D315">
            <v>9</v>
          </cell>
          <cell r="I315">
            <v>0</v>
          </cell>
        </row>
        <row r="316">
          <cell r="A316">
            <v>46153</v>
          </cell>
          <cell r="B316" t="str">
            <v>Pisang Sale</v>
          </cell>
          <cell r="D316">
            <v>9</v>
          </cell>
          <cell r="I316">
            <v>10</v>
          </cell>
        </row>
        <row r="317">
          <cell r="A317">
            <v>46153</v>
          </cell>
          <cell r="B317" t="str">
            <v>Kacang Disco</v>
          </cell>
          <cell r="D317">
            <v>9</v>
          </cell>
          <cell r="I317">
            <v>2</v>
          </cell>
        </row>
        <row r="318">
          <cell r="A318">
            <v>46153</v>
          </cell>
          <cell r="B318" t="str">
            <v>Sari gandum</v>
          </cell>
          <cell r="D318">
            <v>9</v>
          </cell>
          <cell r="I318">
            <v>3</v>
          </cell>
        </row>
        <row r="319">
          <cell r="A319">
            <v>46153</v>
          </cell>
          <cell r="B319" t="str">
            <v>Yogurt</v>
          </cell>
          <cell r="D319">
            <v>9</v>
          </cell>
          <cell r="I319">
            <v>3</v>
          </cell>
        </row>
        <row r="320">
          <cell r="A320">
            <v>46153</v>
          </cell>
          <cell r="B320" t="str">
            <v>Lemonilo chimi</v>
          </cell>
          <cell r="D320">
            <v>9</v>
          </cell>
          <cell r="I320">
            <v>2</v>
          </cell>
        </row>
        <row r="321">
          <cell r="A321">
            <v>46153</v>
          </cell>
          <cell r="B321" t="str">
            <v>PopMie besar</v>
          </cell>
          <cell r="D321">
            <v>9</v>
          </cell>
          <cell r="I321">
            <v>4</v>
          </cell>
        </row>
        <row r="322">
          <cell r="A322">
            <v>46153</v>
          </cell>
          <cell r="B322" t="str">
            <v>YouC</v>
          </cell>
          <cell r="D322">
            <v>9</v>
          </cell>
          <cell r="I322">
            <v>2</v>
          </cell>
        </row>
        <row r="323">
          <cell r="A323">
            <v>46154</v>
          </cell>
          <cell r="B323" t="str">
            <v>Bawang Goreng</v>
          </cell>
          <cell r="D323">
            <v>3</v>
          </cell>
          <cell r="I323">
            <v>4</v>
          </cell>
        </row>
        <row r="324">
          <cell r="A324">
            <v>46154</v>
          </cell>
          <cell r="B324" t="str">
            <v>Keripik Tempe</v>
          </cell>
          <cell r="D324">
            <v>3</v>
          </cell>
          <cell r="I324">
            <v>6</v>
          </cell>
        </row>
        <row r="325">
          <cell r="A325">
            <v>46154</v>
          </cell>
          <cell r="B325" t="str">
            <v>Keripik Singkong</v>
          </cell>
          <cell r="D325">
            <v>3</v>
          </cell>
          <cell r="I325">
            <v>-1</v>
          </cell>
        </row>
        <row r="326">
          <cell r="A326">
            <v>46154</v>
          </cell>
          <cell r="B326" t="str">
            <v>Kentang Mustofa Daun Jeruk</v>
          </cell>
          <cell r="D326">
            <v>3</v>
          </cell>
          <cell r="I326">
            <v>-2</v>
          </cell>
        </row>
        <row r="327">
          <cell r="A327">
            <v>46154</v>
          </cell>
          <cell r="B327" t="str">
            <v>Komicin</v>
          </cell>
          <cell r="D327">
            <v>3</v>
          </cell>
          <cell r="I327">
            <v>3</v>
          </cell>
        </row>
        <row r="328">
          <cell r="A328">
            <v>46154</v>
          </cell>
          <cell r="B328" t="str">
            <v>DeSnack</v>
          </cell>
          <cell r="D328">
            <v>3</v>
          </cell>
          <cell r="I328">
            <v>0</v>
          </cell>
        </row>
        <row r="329">
          <cell r="A329">
            <v>46154</v>
          </cell>
          <cell r="B329" t="str">
            <v>JajanYuk 18</v>
          </cell>
          <cell r="D329">
            <v>3</v>
          </cell>
          <cell r="I329">
            <v>-2</v>
          </cell>
        </row>
        <row r="330">
          <cell r="A330">
            <v>46154</v>
          </cell>
          <cell r="B330" t="str">
            <v>JajanYuk 21</v>
          </cell>
          <cell r="D330">
            <v>3</v>
          </cell>
          <cell r="I330">
            <v>1</v>
          </cell>
        </row>
        <row r="331">
          <cell r="A331">
            <v>46154</v>
          </cell>
          <cell r="B331" t="str">
            <v>Popcorn ori</v>
          </cell>
          <cell r="D331">
            <v>3</v>
          </cell>
          <cell r="I331">
            <v>1</v>
          </cell>
        </row>
        <row r="332">
          <cell r="A332">
            <v>46154</v>
          </cell>
          <cell r="B332" t="str">
            <v>Popcorn Rasa</v>
          </cell>
          <cell r="D332">
            <v>3</v>
          </cell>
          <cell r="I332">
            <v>2</v>
          </cell>
        </row>
        <row r="333">
          <cell r="A333">
            <v>46154</v>
          </cell>
          <cell r="B333" t="str">
            <v>Pop Mie Mini</v>
          </cell>
          <cell r="D333">
            <v>3</v>
          </cell>
          <cell r="I333">
            <v>0</v>
          </cell>
        </row>
        <row r="334">
          <cell r="A334">
            <v>46154</v>
          </cell>
          <cell r="B334" t="str">
            <v>Mie Gemez</v>
          </cell>
          <cell r="D334">
            <v>3</v>
          </cell>
          <cell r="I334">
            <v>10</v>
          </cell>
        </row>
        <row r="335">
          <cell r="A335">
            <v>46154</v>
          </cell>
          <cell r="B335" t="str">
            <v>Cheetos</v>
          </cell>
          <cell r="D335">
            <v>3</v>
          </cell>
          <cell r="I335">
            <v>4</v>
          </cell>
        </row>
        <row r="336">
          <cell r="A336">
            <v>46154</v>
          </cell>
          <cell r="B336" t="str">
            <v>Amplang</v>
          </cell>
          <cell r="D336">
            <v>3</v>
          </cell>
          <cell r="I336">
            <v>3</v>
          </cell>
        </row>
        <row r="337">
          <cell r="A337">
            <v>46154</v>
          </cell>
          <cell r="B337" t="str">
            <v>Pisang Sale</v>
          </cell>
          <cell r="D337">
            <v>3</v>
          </cell>
          <cell r="I337">
            <v>0</v>
          </cell>
        </row>
        <row r="338">
          <cell r="A338">
            <v>46154</v>
          </cell>
          <cell r="B338" t="str">
            <v>Kacang Disco</v>
          </cell>
          <cell r="D338">
            <v>3</v>
          </cell>
          <cell r="I338">
            <v>-3</v>
          </cell>
        </row>
        <row r="339">
          <cell r="A339">
            <v>46154</v>
          </cell>
          <cell r="B339" t="str">
            <v>Sari gandum</v>
          </cell>
          <cell r="D339">
            <v>3</v>
          </cell>
          <cell r="I339">
            <v>0</v>
          </cell>
        </row>
        <row r="340">
          <cell r="A340">
            <v>46154</v>
          </cell>
          <cell r="B340" t="str">
            <v>Yogurt</v>
          </cell>
          <cell r="D340">
            <v>3</v>
          </cell>
          <cell r="I340">
            <v>-1</v>
          </cell>
        </row>
        <row r="341">
          <cell r="A341">
            <v>46154</v>
          </cell>
          <cell r="B341" t="str">
            <v>Lemonilo chimi</v>
          </cell>
          <cell r="D341">
            <v>3</v>
          </cell>
          <cell r="I341">
            <v>13</v>
          </cell>
        </row>
        <row r="342">
          <cell r="A342">
            <v>46154</v>
          </cell>
          <cell r="B342" t="str">
            <v>PopMie besar</v>
          </cell>
          <cell r="D342">
            <v>3</v>
          </cell>
          <cell r="I342">
            <v>0</v>
          </cell>
        </row>
        <row r="343">
          <cell r="A343">
            <v>46154</v>
          </cell>
          <cell r="B343" t="str">
            <v>YouC</v>
          </cell>
          <cell r="D343">
            <v>3</v>
          </cell>
          <cell r="I343">
            <v>-1</v>
          </cell>
        </row>
        <row r="344">
          <cell r="A344">
            <v>46154</v>
          </cell>
          <cell r="B344" t="str">
            <v>Bawang Goreng</v>
          </cell>
          <cell r="D344">
            <v>8</v>
          </cell>
          <cell r="I344">
            <v>0</v>
          </cell>
        </row>
        <row r="345">
          <cell r="A345">
            <v>46154</v>
          </cell>
          <cell r="B345" t="str">
            <v>Keripik Tempe</v>
          </cell>
          <cell r="D345">
            <v>8</v>
          </cell>
          <cell r="I345">
            <v>5</v>
          </cell>
        </row>
        <row r="346">
          <cell r="A346">
            <v>46154</v>
          </cell>
          <cell r="B346" t="str">
            <v>Keripik Singkong</v>
          </cell>
          <cell r="D346">
            <v>8</v>
          </cell>
          <cell r="I346">
            <v>0</v>
          </cell>
        </row>
        <row r="347">
          <cell r="A347">
            <v>46154</v>
          </cell>
          <cell r="B347" t="str">
            <v>Kentang Mustofa Daun Jeruk</v>
          </cell>
          <cell r="D347">
            <v>8</v>
          </cell>
          <cell r="I347">
            <v>0</v>
          </cell>
        </row>
        <row r="348">
          <cell r="A348">
            <v>46154</v>
          </cell>
          <cell r="B348" t="str">
            <v>Komicin</v>
          </cell>
          <cell r="D348">
            <v>8</v>
          </cell>
          <cell r="I348">
            <v>1</v>
          </cell>
        </row>
        <row r="349">
          <cell r="A349">
            <v>46154</v>
          </cell>
          <cell r="B349" t="str">
            <v>DeSnack</v>
          </cell>
          <cell r="D349">
            <v>8</v>
          </cell>
          <cell r="I349">
            <v>1</v>
          </cell>
        </row>
        <row r="350">
          <cell r="A350">
            <v>46154</v>
          </cell>
          <cell r="B350" t="str">
            <v>JajanYuk 18</v>
          </cell>
          <cell r="D350">
            <v>8</v>
          </cell>
          <cell r="I350">
            <v>0</v>
          </cell>
        </row>
        <row r="351">
          <cell r="A351">
            <v>46154</v>
          </cell>
          <cell r="B351" t="str">
            <v>JajanYuk 21</v>
          </cell>
          <cell r="D351">
            <v>8</v>
          </cell>
          <cell r="I351">
            <v>3</v>
          </cell>
        </row>
        <row r="352">
          <cell r="A352">
            <v>46154</v>
          </cell>
          <cell r="B352" t="str">
            <v>Popcorn ori</v>
          </cell>
          <cell r="D352">
            <v>8</v>
          </cell>
          <cell r="I352">
            <v>0</v>
          </cell>
        </row>
        <row r="353">
          <cell r="A353">
            <v>46154</v>
          </cell>
          <cell r="B353" t="str">
            <v>Popcorn Rasa</v>
          </cell>
          <cell r="D353">
            <v>8</v>
          </cell>
          <cell r="I353">
            <v>2</v>
          </cell>
        </row>
        <row r="354">
          <cell r="A354">
            <v>46154</v>
          </cell>
          <cell r="B354" t="str">
            <v>Pop Mie Mini</v>
          </cell>
          <cell r="D354">
            <v>8</v>
          </cell>
          <cell r="I354">
            <v>1</v>
          </cell>
        </row>
        <row r="355">
          <cell r="A355">
            <v>46154</v>
          </cell>
          <cell r="B355" t="str">
            <v>Mie Gemez</v>
          </cell>
          <cell r="D355">
            <v>8</v>
          </cell>
          <cell r="I355">
            <v>1</v>
          </cell>
        </row>
        <row r="356">
          <cell r="A356">
            <v>46154</v>
          </cell>
          <cell r="B356" t="str">
            <v>Cheetos</v>
          </cell>
          <cell r="D356">
            <v>8</v>
          </cell>
          <cell r="I356">
            <v>2</v>
          </cell>
        </row>
        <row r="357">
          <cell r="A357">
            <v>46154</v>
          </cell>
          <cell r="B357" t="str">
            <v>Amplang</v>
          </cell>
          <cell r="D357">
            <v>8</v>
          </cell>
          <cell r="I357">
            <v>4</v>
          </cell>
        </row>
        <row r="358">
          <cell r="A358">
            <v>46154</v>
          </cell>
          <cell r="B358" t="str">
            <v>Pisang Sale</v>
          </cell>
          <cell r="D358">
            <v>8</v>
          </cell>
          <cell r="I358">
            <v>3</v>
          </cell>
        </row>
        <row r="359">
          <cell r="A359">
            <v>46154</v>
          </cell>
          <cell r="B359" t="str">
            <v>Kacang Disco</v>
          </cell>
          <cell r="D359">
            <v>8</v>
          </cell>
          <cell r="I359">
            <v>0</v>
          </cell>
        </row>
        <row r="360">
          <cell r="A360">
            <v>46154</v>
          </cell>
          <cell r="B360" t="str">
            <v>Sari gandum</v>
          </cell>
          <cell r="D360">
            <v>8</v>
          </cell>
          <cell r="I360">
            <v>3</v>
          </cell>
        </row>
        <row r="361">
          <cell r="A361">
            <v>46154</v>
          </cell>
          <cell r="B361" t="str">
            <v>Yogurt</v>
          </cell>
          <cell r="D361">
            <v>8</v>
          </cell>
          <cell r="I361">
            <v>2</v>
          </cell>
        </row>
        <row r="362">
          <cell r="A362">
            <v>46154</v>
          </cell>
          <cell r="B362" t="str">
            <v>Lemonilo chimi</v>
          </cell>
          <cell r="D362">
            <v>8</v>
          </cell>
          <cell r="I362">
            <v>2</v>
          </cell>
        </row>
        <row r="363">
          <cell r="A363">
            <v>46154</v>
          </cell>
          <cell r="B363" t="str">
            <v>PopMie besar</v>
          </cell>
          <cell r="D363">
            <v>8</v>
          </cell>
          <cell r="I363">
            <v>1</v>
          </cell>
        </row>
        <row r="364">
          <cell r="A364">
            <v>46154</v>
          </cell>
          <cell r="B364" t="str">
            <v>YouC</v>
          </cell>
          <cell r="D364">
            <v>8</v>
          </cell>
          <cell r="I364">
            <v>2</v>
          </cell>
        </row>
        <row r="365">
          <cell r="A365">
            <v>46154</v>
          </cell>
          <cell r="B365" t="str">
            <v>Bawang Goreng</v>
          </cell>
          <cell r="D365">
            <v>9</v>
          </cell>
          <cell r="I365">
            <v>1</v>
          </cell>
        </row>
        <row r="366">
          <cell r="A366">
            <v>46154</v>
          </cell>
          <cell r="B366" t="str">
            <v>Keripik Tempe</v>
          </cell>
          <cell r="D366">
            <v>9</v>
          </cell>
          <cell r="I366">
            <v>5</v>
          </cell>
        </row>
        <row r="367">
          <cell r="A367">
            <v>46154</v>
          </cell>
          <cell r="B367" t="str">
            <v>Keripik Singkong</v>
          </cell>
          <cell r="D367">
            <v>9</v>
          </cell>
          <cell r="I367">
            <v>0</v>
          </cell>
        </row>
        <row r="368">
          <cell r="A368">
            <v>46154</v>
          </cell>
          <cell r="B368" t="str">
            <v>Kentang Mustofa Daun Jeruk</v>
          </cell>
          <cell r="D368">
            <v>9</v>
          </cell>
          <cell r="I368">
            <v>0</v>
          </cell>
        </row>
        <row r="369">
          <cell r="A369">
            <v>46154</v>
          </cell>
          <cell r="B369" t="str">
            <v>Komicin</v>
          </cell>
          <cell r="D369">
            <v>9</v>
          </cell>
          <cell r="I369">
            <v>7</v>
          </cell>
        </row>
        <row r="370">
          <cell r="A370">
            <v>46154</v>
          </cell>
          <cell r="B370" t="str">
            <v>DeSnack</v>
          </cell>
          <cell r="D370">
            <v>9</v>
          </cell>
          <cell r="I370">
            <v>0</v>
          </cell>
        </row>
        <row r="371">
          <cell r="A371">
            <v>46154</v>
          </cell>
          <cell r="B371" t="str">
            <v>JajanYuk 18</v>
          </cell>
          <cell r="D371">
            <v>9</v>
          </cell>
          <cell r="I371">
            <v>0</v>
          </cell>
        </row>
        <row r="372">
          <cell r="A372">
            <v>46154</v>
          </cell>
          <cell r="B372" t="str">
            <v>JajanYuk 21</v>
          </cell>
          <cell r="D372">
            <v>9</v>
          </cell>
          <cell r="I372">
            <v>1</v>
          </cell>
        </row>
        <row r="373">
          <cell r="A373">
            <v>46154</v>
          </cell>
          <cell r="B373" t="str">
            <v>Popcorn ori</v>
          </cell>
          <cell r="D373">
            <v>9</v>
          </cell>
          <cell r="I373">
            <v>0</v>
          </cell>
        </row>
        <row r="374">
          <cell r="A374">
            <v>46154</v>
          </cell>
          <cell r="B374" t="str">
            <v>Popcorn Rasa</v>
          </cell>
          <cell r="D374">
            <v>9</v>
          </cell>
          <cell r="I374">
            <v>0</v>
          </cell>
        </row>
        <row r="375">
          <cell r="A375">
            <v>46154</v>
          </cell>
          <cell r="B375" t="str">
            <v>Pop Mie Mini</v>
          </cell>
          <cell r="D375">
            <v>9</v>
          </cell>
          <cell r="I375">
            <v>2</v>
          </cell>
        </row>
        <row r="376">
          <cell r="A376">
            <v>46154</v>
          </cell>
          <cell r="B376" t="str">
            <v>Mie Gemez</v>
          </cell>
          <cell r="D376">
            <v>9</v>
          </cell>
          <cell r="I376">
            <v>7</v>
          </cell>
        </row>
        <row r="377">
          <cell r="A377">
            <v>46154</v>
          </cell>
          <cell r="B377" t="str">
            <v>Cheetos</v>
          </cell>
          <cell r="D377">
            <v>9</v>
          </cell>
          <cell r="I377">
            <v>3</v>
          </cell>
        </row>
        <row r="378">
          <cell r="A378">
            <v>46154</v>
          </cell>
          <cell r="B378" t="str">
            <v>Amplang</v>
          </cell>
          <cell r="D378">
            <v>9</v>
          </cell>
          <cell r="I378">
            <v>0</v>
          </cell>
        </row>
        <row r="379">
          <cell r="A379">
            <v>46154</v>
          </cell>
          <cell r="B379" t="str">
            <v>Pisang Sale</v>
          </cell>
          <cell r="D379">
            <v>9</v>
          </cell>
          <cell r="I379">
            <v>9</v>
          </cell>
        </row>
        <row r="380">
          <cell r="A380">
            <v>46154</v>
          </cell>
          <cell r="B380" t="str">
            <v>Kacang Disco</v>
          </cell>
          <cell r="D380">
            <v>9</v>
          </cell>
          <cell r="I380">
            <v>0</v>
          </cell>
        </row>
        <row r="381">
          <cell r="A381">
            <v>46154</v>
          </cell>
          <cell r="B381" t="str">
            <v>Sari gandum</v>
          </cell>
          <cell r="D381">
            <v>9</v>
          </cell>
          <cell r="I381">
            <v>3</v>
          </cell>
        </row>
        <row r="382">
          <cell r="A382">
            <v>46154</v>
          </cell>
          <cell r="B382" t="str">
            <v>Yogurt</v>
          </cell>
          <cell r="D382">
            <v>9</v>
          </cell>
          <cell r="I382">
            <v>1</v>
          </cell>
        </row>
        <row r="383">
          <cell r="A383">
            <v>46154</v>
          </cell>
          <cell r="B383" t="str">
            <v>Lemonilo chimi</v>
          </cell>
          <cell r="D383">
            <v>9</v>
          </cell>
          <cell r="I383">
            <v>4</v>
          </cell>
        </row>
        <row r="384">
          <cell r="A384">
            <v>46154</v>
          </cell>
          <cell r="B384" t="str">
            <v>PopMie besar</v>
          </cell>
          <cell r="D384">
            <v>9</v>
          </cell>
          <cell r="I384">
            <v>3</v>
          </cell>
        </row>
        <row r="385">
          <cell r="A385">
            <v>46154</v>
          </cell>
          <cell r="B385" t="str">
            <v>YouC</v>
          </cell>
          <cell r="D385">
            <v>9</v>
          </cell>
          <cell r="I385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621C-9723-42D6-9DD6-DD183FBA2982}">
  <dimension ref="A1:H24"/>
  <sheetViews>
    <sheetView zoomScaleNormal="100" workbookViewId="0">
      <selection activeCell="E8" sqref="E8"/>
    </sheetView>
  </sheetViews>
  <sheetFormatPr defaultColWidth="16.77734375" defaultRowHeight="14.4" x14ac:dyDescent="0.3"/>
  <sheetData>
    <row r="1" spans="1:8" ht="43.2" customHeight="1" thickBot="1" x14ac:dyDescent="0.35">
      <c r="A1" s="3" t="s">
        <v>0</v>
      </c>
      <c r="B1" s="3" t="s">
        <v>1</v>
      </c>
      <c r="C1" s="3" t="s">
        <v>29</v>
      </c>
      <c r="D1" s="3" t="s">
        <v>2</v>
      </c>
      <c r="E1" s="3" t="s">
        <v>3</v>
      </c>
      <c r="F1" s="3" t="s">
        <v>30</v>
      </c>
      <c r="G1" s="3" t="s">
        <v>4</v>
      </c>
      <c r="H1" s="3" t="s">
        <v>5</v>
      </c>
    </row>
    <row r="2" spans="1:8" ht="15" thickBot="1" x14ac:dyDescent="0.35">
      <c r="A2" s="2">
        <v>46154</v>
      </c>
      <c r="B2" s="1" t="s">
        <v>6</v>
      </c>
      <c r="C2" s="4">
        <v>3</v>
      </c>
      <c r="D2" s="4">
        <v>5</v>
      </c>
      <c r="E2" s="4">
        <f>SUMIFS('[1]SO Warung'!$I:$I,'[1]SO Warung'!$A:$A,A2,'[1]SO Warung'!$B:$B,B2,'[1]SO Warung'!$D:$D,C2)</f>
        <v>4</v>
      </c>
      <c r="F2" s="4">
        <f>D2-E2</f>
        <v>1</v>
      </c>
      <c r="G2" s="6">
        <v>35000</v>
      </c>
      <c r="H2" s="1"/>
    </row>
    <row r="3" spans="1:8" ht="15" thickBot="1" x14ac:dyDescent="0.35">
      <c r="A3" s="2">
        <v>46154</v>
      </c>
      <c r="B3" s="1" t="s">
        <v>7</v>
      </c>
      <c r="C3" s="4">
        <v>3</v>
      </c>
      <c r="D3" s="4">
        <v>6</v>
      </c>
      <c r="E3" s="4">
        <f>SUMIFS('[1]SO Warung'!$I:$I,'[1]SO Warung'!$A:$A,A3,'[1]SO Warung'!$B:$B,B3,'[1]SO Warung'!$D:$D,C3)</f>
        <v>6</v>
      </c>
      <c r="F3" s="4">
        <f t="shared" ref="F3:F24" si="0">D3-E3</f>
        <v>0</v>
      </c>
      <c r="G3" s="6">
        <v>23000</v>
      </c>
      <c r="H3" s="1"/>
    </row>
    <row r="4" spans="1:8" ht="15" thickBot="1" x14ac:dyDescent="0.35">
      <c r="A4" s="2">
        <v>46154</v>
      </c>
      <c r="B4" s="1" t="s">
        <v>8</v>
      </c>
      <c r="C4" s="4">
        <v>3</v>
      </c>
      <c r="D4" s="4">
        <v>2</v>
      </c>
      <c r="E4" s="4">
        <f>SUMIFS('[1]SO Warung'!$I:$I,'[1]SO Warung'!$A:$A,A4,'[1]SO Warung'!$B:$B,B4,'[1]SO Warung'!$D:$D,C4)</f>
        <v>-1</v>
      </c>
      <c r="F4" s="4">
        <f t="shared" si="0"/>
        <v>3</v>
      </c>
      <c r="G4" s="6">
        <v>21000</v>
      </c>
      <c r="H4" s="1"/>
    </row>
    <row r="5" spans="1:8" ht="27.6" thickBot="1" x14ac:dyDescent="0.35">
      <c r="A5" s="2">
        <v>46154</v>
      </c>
      <c r="B5" s="1" t="s">
        <v>9</v>
      </c>
      <c r="C5" s="4">
        <v>3</v>
      </c>
      <c r="D5" s="4">
        <v>3</v>
      </c>
      <c r="E5" s="4">
        <f>SUMIFS('[1]SO Warung'!$I:$I,'[1]SO Warung'!$A:$A,A5,'[1]SO Warung'!$B:$B,B5,'[1]SO Warung'!$D:$D,C5)</f>
        <v>-2</v>
      </c>
      <c r="F5" s="4">
        <f t="shared" si="0"/>
        <v>5</v>
      </c>
      <c r="G5" s="6">
        <v>36000</v>
      </c>
      <c r="H5" s="1"/>
    </row>
    <row r="6" spans="1:8" ht="15" thickBot="1" x14ac:dyDescent="0.35">
      <c r="A6" s="2">
        <v>46154</v>
      </c>
      <c r="B6" s="1" t="s">
        <v>10</v>
      </c>
      <c r="C6" s="4">
        <v>3</v>
      </c>
      <c r="D6" s="4">
        <v>5</v>
      </c>
      <c r="E6" s="4">
        <f>SUMIFS('[1]SO Warung'!$I:$I,'[1]SO Warung'!$A:$A,A6,'[1]SO Warung'!$B:$B,B6,'[1]SO Warung'!$D:$D,C6)</f>
        <v>3</v>
      </c>
      <c r="F6" s="4">
        <f t="shared" si="0"/>
        <v>2</v>
      </c>
      <c r="G6" s="6">
        <v>23000</v>
      </c>
      <c r="H6" s="1"/>
    </row>
    <row r="7" spans="1:8" ht="15" thickBot="1" x14ac:dyDescent="0.35">
      <c r="A7" s="2">
        <v>46154</v>
      </c>
      <c r="B7" s="1" t="s">
        <v>11</v>
      </c>
      <c r="C7" s="4">
        <v>3</v>
      </c>
      <c r="D7" s="4">
        <v>6</v>
      </c>
      <c r="E7" s="4">
        <f>SUMIFS('[1]SO Warung'!$I:$I,'[1]SO Warung'!$A:$A,A7,'[1]SO Warung'!$B:$B,B7,'[1]SO Warung'!$D:$D,C7)</f>
        <v>0</v>
      </c>
      <c r="F7" s="4">
        <f t="shared" si="0"/>
        <v>6</v>
      </c>
      <c r="G7" s="6">
        <v>15000</v>
      </c>
      <c r="H7" s="1"/>
    </row>
    <row r="8" spans="1:8" ht="15" thickBot="1" x14ac:dyDescent="0.35">
      <c r="A8" s="2">
        <v>46154</v>
      </c>
      <c r="B8" s="1" t="s">
        <v>12</v>
      </c>
      <c r="C8" s="4">
        <v>3</v>
      </c>
      <c r="D8" s="4">
        <v>6</v>
      </c>
      <c r="E8" s="4">
        <f>SUMIFS('[1]SO Warung'!$I:$I,'[1]SO Warung'!$A:$A,A8,'[1]SO Warung'!$B:$B,B8,'[1]SO Warung'!$D:$D,C8)</f>
        <v>0</v>
      </c>
      <c r="F8" s="4">
        <f t="shared" si="0"/>
        <v>6</v>
      </c>
      <c r="G8" s="6">
        <v>18000</v>
      </c>
      <c r="H8" s="1"/>
    </row>
    <row r="9" spans="1:8" ht="15" thickBot="1" x14ac:dyDescent="0.35">
      <c r="A9" s="2">
        <v>46154</v>
      </c>
      <c r="B9" s="1" t="s">
        <v>13</v>
      </c>
      <c r="C9" s="4">
        <v>3</v>
      </c>
      <c r="D9" s="4">
        <v>2</v>
      </c>
      <c r="E9" s="4">
        <f>SUMIFS('[1]SO Warung'!$I:$I,'[1]SO Warung'!$A:$A,A9,'[1]SO Warung'!$B:$B,B9,'[1]SO Warung'!$D:$D,C9)</f>
        <v>0</v>
      </c>
      <c r="F9" s="4">
        <f t="shared" si="0"/>
        <v>2</v>
      </c>
      <c r="G9" s="6">
        <v>21000</v>
      </c>
      <c r="H9" s="1"/>
    </row>
    <row r="10" spans="1:8" ht="15" thickBot="1" x14ac:dyDescent="0.35">
      <c r="A10" s="2">
        <v>46154</v>
      </c>
      <c r="B10" s="1" t="s">
        <v>14</v>
      </c>
      <c r="C10" s="4">
        <v>3</v>
      </c>
      <c r="D10" s="4">
        <v>4</v>
      </c>
      <c r="E10" s="4">
        <f>SUMIFS('[1]SO Warung'!$I:$I,'[1]SO Warung'!$A:$A,A10,'[1]SO Warung'!$B:$B,B10,'[1]SO Warung'!$D:$D,C10)</f>
        <v>-2</v>
      </c>
      <c r="F10" s="4">
        <f t="shared" si="0"/>
        <v>6</v>
      </c>
      <c r="G10" s="6">
        <v>18000</v>
      </c>
      <c r="H10" s="1"/>
    </row>
    <row r="11" spans="1:8" ht="15" thickBot="1" x14ac:dyDescent="0.35">
      <c r="A11" s="2">
        <v>46154</v>
      </c>
      <c r="B11" s="1" t="s">
        <v>15</v>
      </c>
      <c r="C11" s="4">
        <v>3</v>
      </c>
      <c r="D11" s="4">
        <v>3</v>
      </c>
      <c r="E11" s="4">
        <f>SUMIFS('[1]SO Warung'!$I:$I,'[1]SO Warung'!$A:$A,A11,'[1]SO Warung'!$B:$B,B11,'[1]SO Warung'!$D:$D,C11)</f>
        <v>1</v>
      </c>
      <c r="F11" s="4">
        <f t="shared" si="0"/>
        <v>2</v>
      </c>
      <c r="G11" s="6">
        <v>21000</v>
      </c>
      <c r="H11" s="1"/>
    </row>
    <row r="12" spans="1:8" ht="15" thickBot="1" x14ac:dyDescent="0.35">
      <c r="A12" s="2">
        <v>46154</v>
      </c>
      <c r="B12" s="1" t="s">
        <v>16</v>
      </c>
      <c r="C12" s="4">
        <v>3</v>
      </c>
      <c r="D12" s="4">
        <v>2</v>
      </c>
      <c r="E12" s="4">
        <f>SUMIFS('[1]SO Warung'!$I:$I,'[1]SO Warung'!$A:$A,A12,'[1]SO Warung'!$B:$B,B12,'[1]SO Warung'!$D:$D,C12)</f>
        <v>1</v>
      </c>
      <c r="F12" s="4">
        <f t="shared" si="0"/>
        <v>1</v>
      </c>
      <c r="G12" s="6">
        <v>35000</v>
      </c>
      <c r="H12" s="1"/>
    </row>
    <row r="13" spans="1:8" ht="15" thickBot="1" x14ac:dyDescent="0.35">
      <c r="A13" s="2">
        <v>46154</v>
      </c>
      <c r="B13" s="1" t="s">
        <v>17</v>
      </c>
      <c r="C13" s="4">
        <v>3</v>
      </c>
      <c r="D13" s="4">
        <v>4</v>
      </c>
      <c r="E13" s="4">
        <f>SUMIFS('[1]SO Warung'!$I:$I,'[1]SO Warung'!$A:$A,A13,'[1]SO Warung'!$B:$B,B13,'[1]SO Warung'!$D:$D,C13)</f>
        <v>2</v>
      </c>
      <c r="F13" s="4">
        <f t="shared" si="0"/>
        <v>2</v>
      </c>
      <c r="G13" s="6">
        <v>40000</v>
      </c>
      <c r="H13" s="1"/>
    </row>
    <row r="14" spans="1:8" ht="15" thickBot="1" x14ac:dyDescent="0.35">
      <c r="A14" s="2">
        <v>46154</v>
      </c>
      <c r="B14" s="1" t="s">
        <v>18</v>
      </c>
      <c r="C14" s="4">
        <v>3</v>
      </c>
      <c r="D14" s="4">
        <v>12</v>
      </c>
      <c r="E14" s="4">
        <f>SUMIFS('[1]SO Warung'!$I:$I,'[1]SO Warung'!$A:$A,A14,'[1]SO Warung'!$B:$B,B14,'[1]SO Warung'!$D:$D,C14)</f>
        <v>0</v>
      </c>
      <c r="F14" s="4">
        <f t="shared" si="0"/>
        <v>12</v>
      </c>
      <c r="G14" s="6">
        <v>2500</v>
      </c>
      <c r="H14" s="1"/>
    </row>
    <row r="15" spans="1:8" ht="15" thickBot="1" x14ac:dyDescent="0.35">
      <c r="A15" s="2">
        <v>46154</v>
      </c>
      <c r="B15" s="1" t="s">
        <v>19</v>
      </c>
      <c r="C15" s="4">
        <v>3</v>
      </c>
      <c r="D15" s="4">
        <v>10</v>
      </c>
      <c r="E15" s="4">
        <f>SUMIFS('[1]SO Warung'!$I:$I,'[1]SO Warung'!$A:$A,A15,'[1]SO Warung'!$B:$B,B15,'[1]SO Warung'!$D:$D,C15)</f>
        <v>10</v>
      </c>
      <c r="F15" s="4">
        <f t="shared" si="0"/>
        <v>0</v>
      </c>
      <c r="G15" s="6">
        <v>2000</v>
      </c>
      <c r="H15" s="1"/>
    </row>
    <row r="16" spans="1:8" ht="15" thickBot="1" x14ac:dyDescent="0.35">
      <c r="A16" s="2">
        <v>46154</v>
      </c>
      <c r="B16" s="1" t="s">
        <v>20</v>
      </c>
      <c r="C16" s="4">
        <v>3</v>
      </c>
      <c r="D16" s="4">
        <v>10</v>
      </c>
      <c r="E16" s="4">
        <f>SUMIFS('[1]SO Warung'!$I:$I,'[1]SO Warung'!$A:$A,A16,'[1]SO Warung'!$B:$B,B16,'[1]SO Warung'!$D:$D,C16)</f>
        <v>4</v>
      </c>
      <c r="F16" s="4">
        <f t="shared" si="0"/>
        <v>6</v>
      </c>
      <c r="G16" s="6">
        <v>2500</v>
      </c>
      <c r="H16" s="1"/>
    </row>
    <row r="17" spans="1:8" ht="15" thickBot="1" x14ac:dyDescent="0.35">
      <c r="A17" s="2">
        <v>46154</v>
      </c>
      <c r="B17" s="1" t="s">
        <v>21</v>
      </c>
      <c r="C17" s="4">
        <v>3</v>
      </c>
      <c r="D17" s="4">
        <v>15</v>
      </c>
      <c r="E17" s="4">
        <f>SUMIFS('[1]SO Warung'!$I:$I,'[1]SO Warung'!$A:$A,A17,'[1]SO Warung'!$B:$B,B17,'[1]SO Warung'!$D:$D,C17)</f>
        <v>3</v>
      </c>
      <c r="F17" s="4">
        <f t="shared" si="0"/>
        <v>12</v>
      </c>
      <c r="G17" s="6">
        <v>10000</v>
      </c>
      <c r="H17" s="1"/>
    </row>
    <row r="18" spans="1:8" ht="15" thickBot="1" x14ac:dyDescent="0.35">
      <c r="A18" s="2">
        <v>46154</v>
      </c>
      <c r="B18" s="1" t="s">
        <v>22</v>
      </c>
      <c r="C18" s="4">
        <v>3</v>
      </c>
      <c r="D18" s="4">
        <v>10</v>
      </c>
      <c r="E18" s="4">
        <f>SUMIFS('[1]SO Warung'!$I:$I,'[1]SO Warung'!$A:$A,A18,'[1]SO Warung'!$B:$B,B18,'[1]SO Warung'!$D:$D,C18)</f>
        <v>0</v>
      </c>
      <c r="F18" s="4">
        <f t="shared" si="0"/>
        <v>10</v>
      </c>
      <c r="G18" s="6">
        <v>15000</v>
      </c>
      <c r="H18" s="1"/>
    </row>
    <row r="19" spans="1:8" ht="15" thickBot="1" x14ac:dyDescent="0.35">
      <c r="A19" s="2">
        <v>46154</v>
      </c>
      <c r="B19" s="1" t="s">
        <v>23</v>
      </c>
      <c r="C19" s="4">
        <v>3</v>
      </c>
      <c r="D19" s="4">
        <v>7</v>
      </c>
      <c r="E19" s="4">
        <f>SUMIFS('[1]SO Warung'!$I:$I,'[1]SO Warung'!$A:$A,A19,'[1]SO Warung'!$B:$B,B19,'[1]SO Warung'!$D:$D,C19)</f>
        <v>-3</v>
      </c>
      <c r="F19" s="4">
        <f t="shared" si="0"/>
        <v>10</v>
      </c>
      <c r="G19" s="6">
        <v>23000</v>
      </c>
      <c r="H19" s="1"/>
    </row>
    <row r="20" spans="1:8" ht="15" thickBot="1" x14ac:dyDescent="0.35">
      <c r="A20" s="2">
        <v>46154</v>
      </c>
      <c r="B20" s="1" t="s">
        <v>24</v>
      </c>
      <c r="C20" s="4">
        <v>3</v>
      </c>
      <c r="D20" s="4">
        <v>8</v>
      </c>
      <c r="E20" s="4">
        <f>SUMIFS('[1]SO Warung'!$I:$I,'[1]SO Warung'!$A:$A,A20,'[1]SO Warung'!$B:$B,B20,'[1]SO Warung'!$D:$D,C20)</f>
        <v>0</v>
      </c>
      <c r="F20" s="4">
        <f t="shared" si="0"/>
        <v>8</v>
      </c>
      <c r="G20" s="6">
        <v>11000</v>
      </c>
      <c r="H20" s="1"/>
    </row>
    <row r="21" spans="1:8" ht="15" thickBot="1" x14ac:dyDescent="0.35">
      <c r="A21" s="2">
        <v>46154</v>
      </c>
      <c r="B21" s="1" t="s">
        <v>25</v>
      </c>
      <c r="C21" s="4">
        <v>3</v>
      </c>
      <c r="D21" s="4">
        <v>6</v>
      </c>
      <c r="E21" s="4">
        <f>SUMIFS('[1]SO Warung'!$I:$I,'[1]SO Warung'!$A:$A,A21,'[1]SO Warung'!$B:$B,B21,'[1]SO Warung'!$D:$D,C21)</f>
        <v>-1</v>
      </c>
      <c r="F21" s="4">
        <f t="shared" si="0"/>
        <v>7</v>
      </c>
      <c r="G21" s="6">
        <v>14500</v>
      </c>
      <c r="H21" s="1"/>
    </row>
    <row r="22" spans="1:8" ht="15" thickBot="1" x14ac:dyDescent="0.35">
      <c r="A22" s="2">
        <v>46154</v>
      </c>
      <c r="B22" s="1" t="s">
        <v>26</v>
      </c>
      <c r="C22" s="4">
        <v>3</v>
      </c>
      <c r="D22" s="4">
        <v>20</v>
      </c>
      <c r="E22" s="4">
        <f>SUMIFS('[1]SO Warung'!$I:$I,'[1]SO Warung'!$A:$A,A22,'[1]SO Warung'!$B:$B,B22,'[1]SO Warung'!$D:$D,C22)</f>
        <v>13</v>
      </c>
      <c r="F22" s="4">
        <f t="shared" si="0"/>
        <v>7</v>
      </c>
      <c r="G22" s="6">
        <v>3500</v>
      </c>
      <c r="H22" s="1"/>
    </row>
    <row r="23" spans="1:8" ht="15" thickBot="1" x14ac:dyDescent="0.35">
      <c r="A23" s="2">
        <v>46154</v>
      </c>
      <c r="B23" s="1" t="s">
        <v>27</v>
      </c>
      <c r="C23" s="4">
        <v>3</v>
      </c>
      <c r="D23" s="4">
        <v>8</v>
      </c>
      <c r="E23" s="4">
        <f>SUMIFS('[1]SO Warung'!$I:$I,'[1]SO Warung'!$A:$A,A23,'[1]SO Warung'!$B:$B,B23,'[1]SO Warung'!$D:$D,C23)</f>
        <v>0</v>
      </c>
      <c r="F23" s="4">
        <f t="shared" si="0"/>
        <v>8</v>
      </c>
      <c r="G23" s="6">
        <v>5500</v>
      </c>
      <c r="H23" s="1"/>
    </row>
    <row r="24" spans="1:8" ht="15" thickBot="1" x14ac:dyDescent="0.35">
      <c r="A24" s="2">
        <v>46154</v>
      </c>
      <c r="B24" s="1" t="s">
        <v>28</v>
      </c>
      <c r="C24" s="4">
        <v>3</v>
      </c>
      <c r="D24" s="4">
        <v>3</v>
      </c>
      <c r="E24" s="4">
        <f>SUMIFS('[1]SO Warung'!$I:$I,'[1]SO Warung'!$A:$A,A24,'[1]SO Warung'!$B:$B,B24,'[1]SO Warung'!$D:$D,C24)</f>
        <v>-1</v>
      </c>
      <c r="F24" s="4">
        <f t="shared" si="0"/>
        <v>4</v>
      </c>
      <c r="G24" s="6">
        <v>9000</v>
      </c>
      <c r="H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1ECA-A7E4-405E-8E37-17F94A153613}">
  <dimension ref="A1:G24"/>
  <sheetViews>
    <sheetView tabSelected="1" workbookViewId="0">
      <selection activeCell="F2" sqref="F2:F24"/>
    </sheetView>
  </sheetViews>
  <sheetFormatPr defaultColWidth="18.5546875" defaultRowHeight="14.4" x14ac:dyDescent="0.3"/>
  <sheetData>
    <row r="1" spans="1:7" ht="27" thickBot="1" x14ac:dyDescent="0.35">
      <c r="A1" s="3" t="s">
        <v>0</v>
      </c>
      <c r="B1" s="3" t="s">
        <v>1</v>
      </c>
      <c r="C1" s="3" t="s">
        <v>29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5" thickBot="1" x14ac:dyDescent="0.35">
      <c r="A2" s="2">
        <v>46154</v>
      </c>
      <c r="B2" s="1" t="s">
        <v>6</v>
      </c>
      <c r="C2" s="4">
        <v>8</v>
      </c>
      <c r="D2" s="4">
        <v>5</v>
      </c>
      <c r="E2" s="5">
        <f>SUMIFS('[1]SO Warung'!$I:$I,'[1]SO Warung'!$A:$A,A2,'[1]SO Warung'!$B:$B,B2,'[1]SO Warung'!$D:$D,C2)</f>
        <v>0</v>
      </c>
      <c r="F2" s="6">
        <v>35000</v>
      </c>
      <c r="G2" s="1"/>
    </row>
    <row r="3" spans="1:7" ht="15" thickBot="1" x14ac:dyDescent="0.35">
      <c r="A3" s="2">
        <v>46154</v>
      </c>
      <c r="B3" s="1" t="s">
        <v>7</v>
      </c>
      <c r="C3" s="4">
        <v>8</v>
      </c>
      <c r="D3" s="4">
        <v>6</v>
      </c>
      <c r="E3" s="5">
        <f>SUMIFS('[1]SO Warung'!$I:$I,'[1]SO Warung'!$A:$A,A3,'[1]SO Warung'!$B:$B,B3,'[1]SO Warung'!$D:$D,C3)</f>
        <v>5</v>
      </c>
      <c r="F3" s="6">
        <v>23000</v>
      </c>
      <c r="G3" s="1"/>
    </row>
    <row r="4" spans="1:7" ht="15" thickBot="1" x14ac:dyDescent="0.35">
      <c r="A4" s="2">
        <v>46154</v>
      </c>
      <c r="B4" s="1" t="s">
        <v>8</v>
      </c>
      <c r="C4" s="4">
        <v>8</v>
      </c>
      <c r="D4" s="4">
        <v>2</v>
      </c>
      <c r="E4" s="5">
        <f>SUMIFS('[1]SO Warung'!$I:$I,'[1]SO Warung'!$A:$A,A4,'[1]SO Warung'!$B:$B,B4,'[1]SO Warung'!$D:$D,C4)</f>
        <v>0</v>
      </c>
      <c r="F4" s="6">
        <v>21000</v>
      </c>
      <c r="G4" s="1"/>
    </row>
    <row r="5" spans="1:7" ht="27.6" thickBot="1" x14ac:dyDescent="0.35">
      <c r="A5" s="2">
        <v>46154</v>
      </c>
      <c r="B5" s="1" t="s">
        <v>9</v>
      </c>
      <c r="C5" s="4">
        <v>8</v>
      </c>
      <c r="D5" s="4">
        <v>3</v>
      </c>
      <c r="E5" s="5">
        <f>SUMIFS('[1]SO Warung'!$I:$I,'[1]SO Warung'!$A:$A,A5,'[1]SO Warung'!$B:$B,B5,'[1]SO Warung'!$D:$D,C5)</f>
        <v>0</v>
      </c>
      <c r="F5" s="6">
        <v>36000</v>
      </c>
      <c r="G5" s="1"/>
    </row>
    <row r="6" spans="1:7" ht="15" thickBot="1" x14ac:dyDescent="0.35">
      <c r="A6" s="2">
        <v>46154</v>
      </c>
      <c r="B6" s="1" t="s">
        <v>10</v>
      </c>
      <c r="C6" s="4">
        <v>8</v>
      </c>
      <c r="D6" s="4">
        <v>5</v>
      </c>
      <c r="E6" s="5">
        <f>SUMIFS('[1]SO Warung'!$I:$I,'[1]SO Warung'!$A:$A,A6,'[1]SO Warung'!$B:$B,B6,'[1]SO Warung'!$D:$D,C6)</f>
        <v>1</v>
      </c>
      <c r="F6" s="6">
        <v>23000</v>
      </c>
      <c r="G6" s="1"/>
    </row>
    <row r="7" spans="1:7" ht="15" thickBot="1" x14ac:dyDescent="0.35">
      <c r="A7" s="2">
        <v>46154</v>
      </c>
      <c r="B7" s="1" t="s">
        <v>11</v>
      </c>
      <c r="C7" s="4">
        <v>8</v>
      </c>
      <c r="D7" s="4">
        <v>6</v>
      </c>
      <c r="E7" s="5">
        <f>SUMIFS('[1]SO Warung'!$I:$I,'[1]SO Warung'!$A:$A,A7,'[1]SO Warung'!$B:$B,B7,'[1]SO Warung'!$D:$D,C7)</f>
        <v>1</v>
      </c>
      <c r="F7" s="6">
        <v>15000</v>
      </c>
      <c r="G7" s="1"/>
    </row>
    <row r="8" spans="1:7" ht="15" thickBot="1" x14ac:dyDescent="0.35">
      <c r="A8" s="2">
        <v>46154</v>
      </c>
      <c r="B8" s="1" t="s">
        <v>12</v>
      </c>
      <c r="C8" s="4">
        <v>8</v>
      </c>
      <c r="D8" s="4">
        <v>6</v>
      </c>
      <c r="E8" s="5">
        <f>SUMIFS('[1]SO Warung'!$I:$I,'[1]SO Warung'!$A:$A,A8,'[1]SO Warung'!$B:$B,B8,'[1]SO Warung'!$D:$D,C8)</f>
        <v>0</v>
      </c>
      <c r="F8" s="6">
        <v>18000</v>
      </c>
      <c r="G8" s="1"/>
    </row>
    <row r="9" spans="1:7" ht="15" thickBot="1" x14ac:dyDescent="0.35">
      <c r="A9" s="2">
        <v>46154</v>
      </c>
      <c r="B9" s="1" t="s">
        <v>13</v>
      </c>
      <c r="C9" s="4">
        <v>8</v>
      </c>
      <c r="D9" s="4">
        <v>2</v>
      </c>
      <c r="E9" s="5">
        <f>SUMIFS('[1]SO Warung'!$I:$I,'[1]SO Warung'!$A:$A,A9,'[1]SO Warung'!$B:$B,B9,'[1]SO Warung'!$D:$D,C9)</f>
        <v>0</v>
      </c>
      <c r="F9" s="6">
        <v>21000</v>
      </c>
      <c r="G9" s="1"/>
    </row>
    <row r="10" spans="1:7" ht="15" thickBot="1" x14ac:dyDescent="0.35">
      <c r="A10" s="2">
        <v>46154</v>
      </c>
      <c r="B10" s="1" t="s">
        <v>14</v>
      </c>
      <c r="C10" s="4">
        <v>8</v>
      </c>
      <c r="D10" s="4">
        <v>4</v>
      </c>
      <c r="E10" s="5">
        <f>SUMIFS('[1]SO Warung'!$I:$I,'[1]SO Warung'!$A:$A,A10,'[1]SO Warung'!$B:$B,B10,'[1]SO Warung'!$D:$D,C10)</f>
        <v>0</v>
      </c>
      <c r="F10" s="6">
        <v>18000</v>
      </c>
      <c r="G10" s="1"/>
    </row>
    <row r="11" spans="1:7" ht="15" thickBot="1" x14ac:dyDescent="0.35">
      <c r="A11" s="2">
        <v>46154</v>
      </c>
      <c r="B11" s="1" t="s">
        <v>15</v>
      </c>
      <c r="C11" s="4">
        <v>8</v>
      </c>
      <c r="D11" s="4">
        <v>3</v>
      </c>
      <c r="E11" s="5">
        <f>SUMIFS('[1]SO Warung'!$I:$I,'[1]SO Warung'!$A:$A,A11,'[1]SO Warung'!$B:$B,B11,'[1]SO Warung'!$D:$D,C11)</f>
        <v>3</v>
      </c>
      <c r="F11" s="6">
        <v>21000</v>
      </c>
      <c r="G11" s="1"/>
    </row>
    <row r="12" spans="1:7" ht="15" thickBot="1" x14ac:dyDescent="0.35">
      <c r="A12" s="2">
        <v>46154</v>
      </c>
      <c r="B12" s="1" t="s">
        <v>16</v>
      </c>
      <c r="C12" s="4">
        <v>8</v>
      </c>
      <c r="D12" s="4">
        <v>2</v>
      </c>
      <c r="E12" s="5">
        <f>SUMIFS('[1]SO Warung'!$I:$I,'[1]SO Warung'!$A:$A,A12,'[1]SO Warung'!$B:$B,B12,'[1]SO Warung'!$D:$D,C12)</f>
        <v>0</v>
      </c>
      <c r="F12" s="6">
        <v>35000</v>
      </c>
      <c r="G12" s="1"/>
    </row>
    <row r="13" spans="1:7" ht="15" thickBot="1" x14ac:dyDescent="0.35">
      <c r="A13" s="2">
        <v>46154</v>
      </c>
      <c r="B13" s="1" t="s">
        <v>17</v>
      </c>
      <c r="C13" s="4">
        <v>8</v>
      </c>
      <c r="D13" s="4">
        <v>4</v>
      </c>
      <c r="E13" s="5">
        <f>SUMIFS('[1]SO Warung'!$I:$I,'[1]SO Warung'!$A:$A,A13,'[1]SO Warung'!$B:$B,B13,'[1]SO Warung'!$D:$D,C13)</f>
        <v>2</v>
      </c>
      <c r="F13" s="6">
        <v>40000</v>
      </c>
      <c r="G13" s="1"/>
    </row>
    <row r="14" spans="1:7" ht="15" thickBot="1" x14ac:dyDescent="0.35">
      <c r="A14" s="2">
        <v>46154</v>
      </c>
      <c r="B14" s="1" t="s">
        <v>18</v>
      </c>
      <c r="C14" s="4">
        <v>8</v>
      </c>
      <c r="D14" s="4">
        <v>12</v>
      </c>
      <c r="E14" s="5">
        <f>SUMIFS('[1]SO Warung'!$I:$I,'[1]SO Warung'!$A:$A,A14,'[1]SO Warung'!$B:$B,B14,'[1]SO Warung'!$D:$D,C14)</f>
        <v>1</v>
      </c>
      <c r="F14" s="6">
        <v>2500</v>
      </c>
      <c r="G14" s="1"/>
    </row>
    <row r="15" spans="1:7" ht="15" thickBot="1" x14ac:dyDescent="0.35">
      <c r="A15" s="2">
        <v>46154</v>
      </c>
      <c r="B15" s="1" t="s">
        <v>19</v>
      </c>
      <c r="C15" s="4">
        <v>8</v>
      </c>
      <c r="D15" s="4">
        <v>10</v>
      </c>
      <c r="E15" s="5">
        <f>SUMIFS('[1]SO Warung'!$I:$I,'[1]SO Warung'!$A:$A,A15,'[1]SO Warung'!$B:$B,B15,'[1]SO Warung'!$D:$D,C15)</f>
        <v>1</v>
      </c>
      <c r="F15" s="6">
        <v>2000</v>
      </c>
      <c r="G15" s="1"/>
    </row>
    <row r="16" spans="1:7" ht="15" thickBot="1" x14ac:dyDescent="0.35">
      <c r="A16" s="2">
        <v>46154</v>
      </c>
      <c r="B16" s="1" t="s">
        <v>20</v>
      </c>
      <c r="C16" s="4">
        <v>8</v>
      </c>
      <c r="D16" s="4">
        <v>10</v>
      </c>
      <c r="E16" s="5">
        <f>SUMIFS('[1]SO Warung'!$I:$I,'[1]SO Warung'!$A:$A,A16,'[1]SO Warung'!$B:$B,B16,'[1]SO Warung'!$D:$D,C16)</f>
        <v>2</v>
      </c>
      <c r="F16" s="6">
        <v>2500</v>
      </c>
      <c r="G16" s="1"/>
    </row>
    <row r="17" spans="1:7" ht="15" thickBot="1" x14ac:dyDescent="0.35">
      <c r="A17" s="2">
        <v>46154</v>
      </c>
      <c r="B17" s="1" t="s">
        <v>21</v>
      </c>
      <c r="C17" s="4">
        <v>8</v>
      </c>
      <c r="D17" s="4">
        <v>15</v>
      </c>
      <c r="E17" s="5">
        <f>SUMIFS('[1]SO Warung'!$I:$I,'[1]SO Warung'!$A:$A,A17,'[1]SO Warung'!$B:$B,B17,'[1]SO Warung'!$D:$D,C17)</f>
        <v>4</v>
      </c>
      <c r="F17" s="6">
        <v>10000</v>
      </c>
      <c r="G17" s="1"/>
    </row>
    <row r="18" spans="1:7" ht="15" thickBot="1" x14ac:dyDescent="0.35">
      <c r="A18" s="2">
        <v>46154</v>
      </c>
      <c r="B18" s="1" t="s">
        <v>22</v>
      </c>
      <c r="C18" s="4">
        <v>8</v>
      </c>
      <c r="D18" s="4">
        <v>10</v>
      </c>
      <c r="E18" s="5">
        <f>SUMIFS('[1]SO Warung'!$I:$I,'[1]SO Warung'!$A:$A,A18,'[1]SO Warung'!$B:$B,B18,'[1]SO Warung'!$D:$D,C18)</f>
        <v>3</v>
      </c>
      <c r="F18" s="6">
        <v>15000</v>
      </c>
      <c r="G18" s="1"/>
    </row>
    <row r="19" spans="1:7" ht="15" thickBot="1" x14ac:dyDescent="0.35">
      <c r="A19" s="2">
        <v>46154</v>
      </c>
      <c r="B19" s="1" t="s">
        <v>23</v>
      </c>
      <c r="C19" s="4">
        <v>8</v>
      </c>
      <c r="D19" s="4">
        <v>7</v>
      </c>
      <c r="E19" s="5">
        <f>SUMIFS('[1]SO Warung'!$I:$I,'[1]SO Warung'!$A:$A,A19,'[1]SO Warung'!$B:$B,B19,'[1]SO Warung'!$D:$D,C19)</f>
        <v>0</v>
      </c>
      <c r="F19" s="6">
        <v>23000</v>
      </c>
      <c r="G19" s="1"/>
    </row>
    <row r="20" spans="1:7" ht="15" thickBot="1" x14ac:dyDescent="0.35">
      <c r="A20" s="2">
        <v>46154</v>
      </c>
      <c r="B20" s="1" t="s">
        <v>24</v>
      </c>
      <c r="C20" s="4">
        <v>8</v>
      </c>
      <c r="D20" s="4">
        <v>8</v>
      </c>
      <c r="E20" s="5">
        <f>SUMIFS('[1]SO Warung'!$I:$I,'[1]SO Warung'!$A:$A,A20,'[1]SO Warung'!$B:$B,B20,'[1]SO Warung'!$D:$D,C20)</f>
        <v>3</v>
      </c>
      <c r="F20" s="6">
        <v>11000</v>
      </c>
      <c r="G20" s="1"/>
    </row>
    <row r="21" spans="1:7" ht="15" thickBot="1" x14ac:dyDescent="0.35">
      <c r="A21" s="2">
        <v>46154</v>
      </c>
      <c r="B21" s="1" t="s">
        <v>25</v>
      </c>
      <c r="C21" s="4">
        <v>8</v>
      </c>
      <c r="D21" s="4">
        <v>6</v>
      </c>
      <c r="E21" s="5">
        <f>SUMIFS('[1]SO Warung'!$I:$I,'[1]SO Warung'!$A:$A,A21,'[1]SO Warung'!$B:$B,B21,'[1]SO Warung'!$D:$D,C21)</f>
        <v>2</v>
      </c>
      <c r="F21" s="6">
        <v>14500</v>
      </c>
      <c r="G21" s="1"/>
    </row>
    <row r="22" spans="1:7" ht="15" thickBot="1" x14ac:dyDescent="0.35">
      <c r="A22" s="2">
        <v>46154</v>
      </c>
      <c r="B22" s="1" t="s">
        <v>26</v>
      </c>
      <c r="C22" s="4">
        <v>8</v>
      </c>
      <c r="D22" s="4">
        <v>20</v>
      </c>
      <c r="E22" s="5">
        <f>SUMIFS('[1]SO Warung'!$I:$I,'[1]SO Warung'!$A:$A,A22,'[1]SO Warung'!$B:$B,B22,'[1]SO Warung'!$D:$D,C22)</f>
        <v>2</v>
      </c>
      <c r="F22" s="6">
        <v>3500</v>
      </c>
      <c r="G22" s="1"/>
    </row>
    <row r="23" spans="1:7" ht="15" thickBot="1" x14ac:dyDescent="0.35">
      <c r="A23" s="2">
        <v>46154</v>
      </c>
      <c r="B23" s="1" t="s">
        <v>27</v>
      </c>
      <c r="C23" s="4">
        <v>8</v>
      </c>
      <c r="D23" s="4">
        <v>8</v>
      </c>
      <c r="E23" s="5">
        <f>SUMIFS('[1]SO Warung'!$I:$I,'[1]SO Warung'!$A:$A,A23,'[1]SO Warung'!$B:$B,B23,'[1]SO Warung'!$D:$D,C23)</f>
        <v>1</v>
      </c>
      <c r="F23" s="6">
        <v>5500</v>
      </c>
      <c r="G23" s="1"/>
    </row>
    <row r="24" spans="1:7" ht="15" thickBot="1" x14ac:dyDescent="0.35">
      <c r="A24" s="2">
        <v>46154</v>
      </c>
      <c r="B24" s="1" t="s">
        <v>28</v>
      </c>
      <c r="C24" s="4">
        <v>8</v>
      </c>
      <c r="D24" s="4">
        <v>3</v>
      </c>
      <c r="E24" s="5">
        <f>SUMIFS('[1]SO Warung'!$I:$I,'[1]SO Warung'!$A:$A,A24,'[1]SO Warung'!$B:$B,B24,'[1]SO Warung'!$D:$D,C24)</f>
        <v>2</v>
      </c>
      <c r="F24" s="6">
        <v>9000</v>
      </c>
      <c r="G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E441-CDA4-4A53-89BE-162F338C8637}">
  <dimension ref="A1:G24"/>
  <sheetViews>
    <sheetView workbookViewId="0">
      <selection activeCell="F2" sqref="F2:F24"/>
    </sheetView>
  </sheetViews>
  <sheetFormatPr defaultColWidth="17.6640625" defaultRowHeight="14.4" x14ac:dyDescent="0.3"/>
  <cols>
    <col min="2" max="2" width="26.44140625" customWidth="1"/>
  </cols>
  <sheetData>
    <row r="1" spans="1:7" ht="27" thickBot="1" x14ac:dyDescent="0.35">
      <c r="A1" s="3" t="s">
        <v>0</v>
      </c>
      <c r="B1" s="3" t="s">
        <v>1</v>
      </c>
      <c r="C1" s="3" t="s">
        <v>29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5" thickBot="1" x14ac:dyDescent="0.35">
      <c r="A2" s="2">
        <v>46154</v>
      </c>
      <c r="B2" s="1" t="s">
        <v>6</v>
      </c>
      <c r="C2" s="4">
        <v>9</v>
      </c>
      <c r="D2" s="4">
        <v>5</v>
      </c>
      <c r="E2" s="5">
        <f>SUMIFS('[1]SO Warung'!$I:$I,'[1]SO Warung'!$A:$A,A2,'[1]SO Warung'!$B:$B,B2,'[1]SO Warung'!$D:$D,C2)</f>
        <v>1</v>
      </c>
      <c r="F2" s="6">
        <v>35000</v>
      </c>
      <c r="G2" s="1"/>
    </row>
    <row r="3" spans="1:7" ht="15" thickBot="1" x14ac:dyDescent="0.35">
      <c r="A3" s="2">
        <v>46154</v>
      </c>
      <c r="B3" s="1" t="s">
        <v>7</v>
      </c>
      <c r="C3" s="4">
        <v>9</v>
      </c>
      <c r="D3" s="4">
        <v>6</v>
      </c>
      <c r="E3" s="5">
        <f>SUMIFS('[1]SO Warung'!$I:$I,'[1]SO Warung'!$A:$A,A3,'[1]SO Warung'!$B:$B,B3,'[1]SO Warung'!$D:$D,C3)</f>
        <v>5</v>
      </c>
      <c r="F3" s="6">
        <v>23000</v>
      </c>
      <c r="G3" s="1"/>
    </row>
    <row r="4" spans="1:7" ht="15" thickBot="1" x14ac:dyDescent="0.35">
      <c r="A4" s="2">
        <v>46154</v>
      </c>
      <c r="B4" s="1" t="s">
        <v>8</v>
      </c>
      <c r="C4" s="4">
        <v>9</v>
      </c>
      <c r="D4" s="4">
        <v>2</v>
      </c>
      <c r="E4" s="5">
        <f>SUMIFS('[1]SO Warung'!$I:$I,'[1]SO Warung'!$A:$A,A4,'[1]SO Warung'!$B:$B,B4,'[1]SO Warung'!$D:$D,C4)</f>
        <v>0</v>
      </c>
      <c r="F4" s="6">
        <v>21000</v>
      </c>
      <c r="G4" s="1"/>
    </row>
    <row r="5" spans="1:7" ht="27.6" thickBot="1" x14ac:dyDescent="0.35">
      <c r="A5" s="2">
        <v>46154</v>
      </c>
      <c r="B5" s="1" t="s">
        <v>9</v>
      </c>
      <c r="C5" s="4">
        <v>9</v>
      </c>
      <c r="D5" s="4">
        <v>3</v>
      </c>
      <c r="E5" s="5">
        <f>SUMIFS('[1]SO Warung'!$I:$I,'[1]SO Warung'!$A:$A,A5,'[1]SO Warung'!$B:$B,B5,'[1]SO Warung'!$D:$D,C5)</f>
        <v>0</v>
      </c>
      <c r="F5" s="6">
        <v>36000</v>
      </c>
      <c r="G5" s="1"/>
    </row>
    <row r="6" spans="1:7" ht="15" thickBot="1" x14ac:dyDescent="0.35">
      <c r="A6" s="2">
        <v>46154</v>
      </c>
      <c r="B6" s="1" t="s">
        <v>10</v>
      </c>
      <c r="C6" s="4">
        <v>9</v>
      </c>
      <c r="D6" s="4">
        <v>5</v>
      </c>
      <c r="E6" s="5">
        <f>SUMIFS('[1]SO Warung'!$I:$I,'[1]SO Warung'!$A:$A,A6,'[1]SO Warung'!$B:$B,B6,'[1]SO Warung'!$D:$D,C6)</f>
        <v>7</v>
      </c>
      <c r="F6" s="6">
        <v>23000</v>
      </c>
      <c r="G6" s="1"/>
    </row>
    <row r="7" spans="1:7" ht="15" thickBot="1" x14ac:dyDescent="0.35">
      <c r="A7" s="2">
        <v>46154</v>
      </c>
      <c r="B7" s="1" t="s">
        <v>11</v>
      </c>
      <c r="C7" s="4">
        <v>9</v>
      </c>
      <c r="D7" s="4">
        <v>6</v>
      </c>
      <c r="E7" s="5">
        <f>SUMIFS('[1]SO Warung'!$I:$I,'[1]SO Warung'!$A:$A,A7,'[1]SO Warung'!$B:$B,B7,'[1]SO Warung'!$D:$D,C7)</f>
        <v>0</v>
      </c>
      <c r="F7" s="6">
        <v>15000</v>
      </c>
      <c r="G7" s="1"/>
    </row>
    <row r="8" spans="1:7" ht="15" thickBot="1" x14ac:dyDescent="0.35">
      <c r="A8" s="2">
        <v>46154</v>
      </c>
      <c r="B8" s="1" t="s">
        <v>12</v>
      </c>
      <c r="C8" s="4">
        <v>9</v>
      </c>
      <c r="D8" s="4">
        <v>6</v>
      </c>
      <c r="E8" s="5">
        <f>SUMIFS('[1]SO Warung'!$I:$I,'[1]SO Warung'!$A:$A,A8,'[1]SO Warung'!$B:$B,B8,'[1]SO Warung'!$D:$D,C8)</f>
        <v>0</v>
      </c>
      <c r="F8" s="6">
        <v>18000</v>
      </c>
      <c r="G8" s="1"/>
    </row>
    <row r="9" spans="1:7" ht="15" thickBot="1" x14ac:dyDescent="0.35">
      <c r="A9" s="2">
        <v>46154</v>
      </c>
      <c r="B9" s="1" t="s">
        <v>13</v>
      </c>
      <c r="C9" s="4">
        <v>9</v>
      </c>
      <c r="D9" s="4">
        <v>2</v>
      </c>
      <c r="E9" s="5">
        <f>SUMIFS('[1]SO Warung'!$I:$I,'[1]SO Warung'!$A:$A,A9,'[1]SO Warung'!$B:$B,B9,'[1]SO Warung'!$D:$D,C9)</f>
        <v>0</v>
      </c>
      <c r="F9" s="6">
        <v>21000</v>
      </c>
      <c r="G9" s="1"/>
    </row>
    <row r="10" spans="1:7" ht="15" thickBot="1" x14ac:dyDescent="0.35">
      <c r="A10" s="2">
        <v>46154</v>
      </c>
      <c r="B10" s="1" t="s">
        <v>14</v>
      </c>
      <c r="C10" s="4">
        <v>9</v>
      </c>
      <c r="D10" s="4">
        <v>4</v>
      </c>
      <c r="E10" s="5">
        <f>SUMIFS('[1]SO Warung'!$I:$I,'[1]SO Warung'!$A:$A,A10,'[1]SO Warung'!$B:$B,B10,'[1]SO Warung'!$D:$D,C10)</f>
        <v>0</v>
      </c>
      <c r="F10" s="6">
        <v>18000</v>
      </c>
      <c r="G10" s="1"/>
    </row>
    <row r="11" spans="1:7" ht="15" thickBot="1" x14ac:dyDescent="0.35">
      <c r="A11" s="2">
        <v>46154</v>
      </c>
      <c r="B11" s="1" t="s">
        <v>15</v>
      </c>
      <c r="C11" s="4">
        <v>9</v>
      </c>
      <c r="D11" s="4">
        <v>3</v>
      </c>
      <c r="E11" s="5">
        <f>SUMIFS('[1]SO Warung'!$I:$I,'[1]SO Warung'!$A:$A,A11,'[1]SO Warung'!$B:$B,B11,'[1]SO Warung'!$D:$D,C11)</f>
        <v>1</v>
      </c>
      <c r="F11" s="6">
        <v>21000</v>
      </c>
      <c r="G11" s="1"/>
    </row>
    <row r="12" spans="1:7" ht="15" thickBot="1" x14ac:dyDescent="0.35">
      <c r="A12" s="2">
        <v>46154</v>
      </c>
      <c r="B12" s="1" t="s">
        <v>16</v>
      </c>
      <c r="C12" s="4">
        <v>9</v>
      </c>
      <c r="D12" s="4">
        <v>2</v>
      </c>
      <c r="E12" s="5">
        <f>SUMIFS('[1]SO Warung'!$I:$I,'[1]SO Warung'!$A:$A,A12,'[1]SO Warung'!$B:$B,B12,'[1]SO Warung'!$D:$D,C12)</f>
        <v>0</v>
      </c>
      <c r="F12" s="6">
        <v>35000</v>
      </c>
      <c r="G12" s="1"/>
    </row>
    <row r="13" spans="1:7" ht="15" thickBot="1" x14ac:dyDescent="0.35">
      <c r="A13" s="2">
        <v>46154</v>
      </c>
      <c r="B13" s="1" t="s">
        <v>17</v>
      </c>
      <c r="C13" s="4">
        <v>9</v>
      </c>
      <c r="D13" s="4">
        <v>4</v>
      </c>
      <c r="E13" s="5">
        <f>SUMIFS('[1]SO Warung'!$I:$I,'[1]SO Warung'!$A:$A,A13,'[1]SO Warung'!$B:$B,B13,'[1]SO Warung'!$D:$D,C13)</f>
        <v>0</v>
      </c>
      <c r="F13" s="6">
        <v>40000</v>
      </c>
      <c r="G13" s="1"/>
    </row>
    <row r="14" spans="1:7" ht="15" thickBot="1" x14ac:dyDescent="0.35">
      <c r="A14" s="2">
        <v>46154</v>
      </c>
      <c r="B14" s="1" t="s">
        <v>18</v>
      </c>
      <c r="C14" s="4">
        <v>9</v>
      </c>
      <c r="D14" s="4">
        <v>12</v>
      </c>
      <c r="E14" s="5">
        <f>SUMIFS('[1]SO Warung'!$I:$I,'[1]SO Warung'!$A:$A,A14,'[1]SO Warung'!$B:$B,B14,'[1]SO Warung'!$D:$D,C14)</f>
        <v>2</v>
      </c>
      <c r="F14" s="6">
        <v>2500</v>
      </c>
      <c r="G14" s="1"/>
    </row>
    <row r="15" spans="1:7" ht="15" thickBot="1" x14ac:dyDescent="0.35">
      <c r="A15" s="2">
        <v>46154</v>
      </c>
      <c r="B15" s="1" t="s">
        <v>19</v>
      </c>
      <c r="C15" s="4">
        <v>9</v>
      </c>
      <c r="D15" s="4">
        <v>10</v>
      </c>
      <c r="E15" s="5">
        <f>SUMIFS('[1]SO Warung'!$I:$I,'[1]SO Warung'!$A:$A,A15,'[1]SO Warung'!$B:$B,B15,'[1]SO Warung'!$D:$D,C15)</f>
        <v>7</v>
      </c>
      <c r="F15" s="6">
        <v>2000</v>
      </c>
      <c r="G15" s="1"/>
    </row>
    <row r="16" spans="1:7" ht="15" thickBot="1" x14ac:dyDescent="0.35">
      <c r="A16" s="2">
        <v>46154</v>
      </c>
      <c r="B16" s="1" t="s">
        <v>20</v>
      </c>
      <c r="C16" s="4">
        <v>9</v>
      </c>
      <c r="D16" s="4">
        <v>10</v>
      </c>
      <c r="E16" s="5">
        <f>SUMIFS('[1]SO Warung'!$I:$I,'[1]SO Warung'!$A:$A,A16,'[1]SO Warung'!$B:$B,B16,'[1]SO Warung'!$D:$D,C16)</f>
        <v>3</v>
      </c>
      <c r="F16" s="6">
        <v>2500</v>
      </c>
      <c r="G16" s="1"/>
    </row>
    <row r="17" spans="1:7" ht="15" thickBot="1" x14ac:dyDescent="0.35">
      <c r="A17" s="2">
        <v>46154</v>
      </c>
      <c r="B17" s="1" t="s">
        <v>21</v>
      </c>
      <c r="C17" s="4">
        <v>9</v>
      </c>
      <c r="D17" s="4">
        <v>15</v>
      </c>
      <c r="E17" s="5">
        <f>SUMIFS('[1]SO Warung'!$I:$I,'[1]SO Warung'!$A:$A,A17,'[1]SO Warung'!$B:$B,B17,'[1]SO Warung'!$D:$D,C17)</f>
        <v>0</v>
      </c>
      <c r="F17" s="6">
        <v>10000</v>
      </c>
      <c r="G17" s="1"/>
    </row>
    <row r="18" spans="1:7" ht="15" thickBot="1" x14ac:dyDescent="0.35">
      <c r="A18" s="2">
        <v>46154</v>
      </c>
      <c r="B18" s="1" t="s">
        <v>22</v>
      </c>
      <c r="C18" s="4">
        <v>9</v>
      </c>
      <c r="D18" s="4">
        <v>10</v>
      </c>
      <c r="E18" s="5">
        <f>SUMIFS('[1]SO Warung'!$I:$I,'[1]SO Warung'!$A:$A,A18,'[1]SO Warung'!$B:$B,B18,'[1]SO Warung'!$D:$D,C18)</f>
        <v>9</v>
      </c>
      <c r="F18" s="6">
        <v>15000</v>
      </c>
      <c r="G18" s="1"/>
    </row>
    <row r="19" spans="1:7" ht="15" thickBot="1" x14ac:dyDescent="0.35">
      <c r="A19" s="2">
        <v>46154</v>
      </c>
      <c r="B19" s="1" t="s">
        <v>23</v>
      </c>
      <c r="C19" s="4">
        <v>9</v>
      </c>
      <c r="D19" s="4">
        <v>7</v>
      </c>
      <c r="E19" s="5">
        <f>SUMIFS('[1]SO Warung'!$I:$I,'[1]SO Warung'!$A:$A,A19,'[1]SO Warung'!$B:$B,B19,'[1]SO Warung'!$D:$D,C19)</f>
        <v>0</v>
      </c>
      <c r="F19" s="6">
        <v>23000</v>
      </c>
      <c r="G19" s="1"/>
    </row>
    <row r="20" spans="1:7" ht="15" thickBot="1" x14ac:dyDescent="0.35">
      <c r="A20" s="2">
        <v>46154</v>
      </c>
      <c r="B20" s="1" t="s">
        <v>24</v>
      </c>
      <c r="C20" s="4">
        <v>9</v>
      </c>
      <c r="D20" s="4">
        <v>8</v>
      </c>
      <c r="E20" s="5">
        <f>SUMIFS('[1]SO Warung'!$I:$I,'[1]SO Warung'!$A:$A,A20,'[1]SO Warung'!$B:$B,B20,'[1]SO Warung'!$D:$D,C20)</f>
        <v>3</v>
      </c>
      <c r="F20" s="6">
        <v>11000</v>
      </c>
      <c r="G20" s="1"/>
    </row>
    <row r="21" spans="1:7" ht="15" thickBot="1" x14ac:dyDescent="0.35">
      <c r="A21" s="2">
        <v>46154</v>
      </c>
      <c r="B21" s="1" t="s">
        <v>25</v>
      </c>
      <c r="C21" s="4">
        <v>9</v>
      </c>
      <c r="D21" s="4">
        <v>6</v>
      </c>
      <c r="E21" s="5">
        <f>SUMIFS('[1]SO Warung'!$I:$I,'[1]SO Warung'!$A:$A,A21,'[1]SO Warung'!$B:$B,B21,'[1]SO Warung'!$D:$D,C21)</f>
        <v>1</v>
      </c>
      <c r="F21" s="6">
        <v>14500</v>
      </c>
      <c r="G21" s="1"/>
    </row>
    <row r="22" spans="1:7" ht="15" thickBot="1" x14ac:dyDescent="0.35">
      <c r="A22" s="2">
        <v>46154</v>
      </c>
      <c r="B22" s="1" t="s">
        <v>26</v>
      </c>
      <c r="C22" s="4">
        <v>9</v>
      </c>
      <c r="D22" s="4">
        <v>20</v>
      </c>
      <c r="E22" s="5">
        <f>SUMIFS('[1]SO Warung'!$I:$I,'[1]SO Warung'!$A:$A,A22,'[1]SO Warung'!$B:$B,B22,'[1]SO Warung'!$D:$D,C22)</f>
        <v>4</v>
      </c>
      <c r="F22" s="6">
        <v>3500</v>
      </c>
      <c r="G22" s="1"/>
    </row>
    <row r="23" spans="1:7" ht="15" thickBot="1" x14ac:dyDescent="0.35">
      <c r="A23" s="2">
        <v>46154</v>
      </c>
      <c r="B23" s="1" t="s">
        <v>27</v>
      </c>
      <c r="C23" s="4">
        <v>9</v>
      </c>
      <c r="D23" s="4">
        <v>8</v>
      </c>
      <c r="E23" s="5">
        <f>SUMIFS('[1]SO Warung'!$I:$I,'[1]SO Warung'!$A:$A,A23,'[1]SO Warung'!$B:$B,B23,'[1]SO Warung'!$D:$D,C23)</f>
        <v>3</v>
      </c>
      <c r="F23" s="6">
        <v>5500</v>
      </c>
      <c r="G23" s="1"/>
    </row>
    <row r="24" spans="1:7" ht="15" thickBot="1" x14ac:dyDescent="0.35">
      <c r="A24" s="2">
        <v>46154</v>
      </c>
      <c r="B24" s="1" t="s">
        <v>28</v>
      </c>
      <c r="C24" s="4">
        <v>9</v>
      </c>
      <c r="D24" s="4">
        <v>3</v>
      </c>
      <c r="E24" s="5">
        <f>SUMIFS('[1]SO Warung'!$I:$I,'[1]SO Warung'!$A:$A,A24,'[1]SO Warung'!$B:$B,B24,'[1]SO Warung'!$D:$D,C24)</f>
        <v>1</v>
      </c>
      <c r="F24" s="6">
        <v>9000</v>
      </c>
      <c r="G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lantai3</vt:lpstr>
      <vt:lpstr>lantai8</vt:lpstr>
      <vt:lpstr>lantai9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Farras Thariq Hasibuan</dc:creator>
  <cp:lastModifiedBy>Andi Farras Thariq Hasibuan</cp:lastModifiedBy>
  <dcterms:created xsi:type="dcterms:W3CDTF">2026-05-12T04:16:41Z</dcterms:created>
  <dcterms:modified xsi:type="dcterms:W3CDTF">2026-05-13T01:22:23Z</dcterms:modified>
</cp:coreProperties>
</file>