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fifo365-my.sharepoint.com/personal/68766_fif_co_id/Documents/"/>
    </mc:Choice>
  </mc:AlternateContent>
  <xr:revisionPtr revIDLastSave="217" documentId="8_{8EAF207E-0644-4A14-8133-8B1A9C3F05A1}" xr6:coauthVersionLast="47" xr6:coauthVersionMax="47" xr10:uidLastSave="{94B0E4E6-0213-40E4-8D40-FC8050172EC2}"/>
  <bookViews>
    <workbookView xWindow="-108" yWindow="-108" windowWidth="23256" windowHeight="13896" xr2:uid="{503EE100-7F29-40DA-810E-518CED29D0C3}"/>
  </bookViews>
  <sheets>
    <sheet name="stock_harian" sheetId="1" r:id="rId1"/>
    <sheet name="karyawan" sheetId="6" r:id="rId2"/>
    <sheet name="lantai3" sheetId="3" r:id="rId3"/>
    <sheet name="lantai8" sheetId="4" r:id="rId4"/>
    <sheet name="lantai9" sheetId="5" r:id="rId5"/>
    <sheet name="Inventory" sheetId="2" r:id="rId6"/>
  </sheets>
  <externalReferences>
    <externalReference r:id="rId7"/>
    <externalReference r:id="rId8"/>
  </externalReferences>
  <definedNames>
    <definedName name="_xlnm._FilterDatabase" localSheetId="0" hidden="1">stock_harian!$A$1:$N$385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2" i="1"/>
  <c r="H324" i="1"/>
  <c r="K324" i="1" s="1"/>
  <c r="I387" i="1" s="1"/>
  <c r="H325" i="1"/>
  <c r="H326" i="1"/>
  <c r="K326" i="1" s="1"/>
  <c r="I389" i="1" s="1"/>
  <c r="H327" i="1"/>
  <c r="K327" i="1" s="1"/>
  <c r="I390" i="1" s="1"/>
  <c r="H328" i="1"/>
  <c r="K328" i="1" s="1"/>
  <c r="I391" i="1" s="1"/>
  <c r="H329" i="1"/>
  <c r="K329" i="1" s="1"/>
  <c r="I392" i="1" s="1"/>
  <c r="H330" i="1"/>
  <c r="K330" i="1" s="1"/>
  <c r="H331" i="1"/>
  <c r="K331" i="1" s="1"/>
  <c r="I394" i="1" s="1"/>
  <c r="H332" i="1"/>
  <c r="K332" i="1" s="1"/>
  <c r="I395" i="1" s="1"/>
  <c r="H333" i="1"/>
  <c r="H334" i="1"/>
  <c r="K334" i="1" s="1"/>
  <c r="I397" i="1" s="1"/>
  <c r="H335" i="1"/>
  <c r="K335" i="1" s="1"/>
  <c r="I398" i="1" s="1"/>
  <c r="H336" i="1"/>
  <c r="H337" i="1"/>
  <c r="H338" i="1"/>
  <c r="K338" i="1" s="1"/>
  <c r="I401" i="1" s="1"/>
  <c r="H339" i="1"/>
  <c r="K339" i="1" s="1"/>
  <c r="I402" i="1" s="1"/>
  <c r="H340" i="1"/>
  <c r="K340" i="1" s="1"/>
  <c r="I403" i="1" s="1"/>
  <c r="H341" i="1"/>
  <c r="K341" i="1" s="1"/>
  <c r="H362" i="1" s="1"/>
  <c r="H342" i="1"/>
  <c r="K342" i="1" s="1"/>
  <c r="H363" i="1" s="1"/>
  <c r="H343" i="1"/>
  <c r="K343" i="1" s="1"/>
  <c r="I406" i="1" s="1"/>
  <c r="H386" i="1"/>
  <c r="K386" i="1" s="1"/>
  <c r="H387" i="1"/>
  <c r="K387" i="1" s="1"/>
  <c r="H388" i="1"/>
  <c r="K388" i="1" s="1"/>
  <c r="H389" i="1"/>
  <c r="K389" i="1" s="1"/>
  <c r="H390" i="1"/>
  <c r="K390" i="1" s="1"/>
  <c r="H391" i="1"/>
  <c r="K391" i="1" s="1"/>
  <c r="H392" i="1"/>
  <c r="K392" i="1" s="1"/>
  <c r="H393" i="1"/>
  <c r="H394" i="1"/>
  <c r="K394" i="1" s="1"/>
  <c r="H395" i="1"/>
  <c r="H396" i="1"/>
  <c r="H397" i="1"/>
  <c r="K397" i="1" s="1"/>
  <c r="H398" i="1"/>
  <c r="H399" i="1"/>
  <c r="H400" i="1"/>
  <c r="K400" i="1" s="1"/>
  <c r="H401" i="1"/>
  <c r="K401" i="1" s="1"/>
  <c r="H402" i="1"/>
  <c r="K402" i="1" s="1"/>
  <c r="H403" i="1"/>
  <c r="K403" i="1" s="1"/>
  <c r="H404" i="1"/>
  <c r="K404" i="1" s="1"/>
  <c r="H405" i="1"/>
  <c r="K405" i="1" s="1"/>
  <c r="H406" i="1"/>
  <c r="K406" i="1" s="1"/>
  <c r="H407" i="1"/>
  <c r="K407" i="1" s="1"/>
  <c r="H408" i="1"/>
  <c r="K408" i="1" s="1"/>
  <c r="H409" i="1"/>
  <c r="K409" i="1" s="1"/>
  <c r="H410" i="1"/>
  <c r="K410" i="1" s="1"/>
  <c r="H411" i="1"/>
  <c r="K411" i="1" s="1"/>
  <c r="H412" i="1"/>
  <c r="K412" i="1" s="1"/>
  <c r="H413" i="1"/>
  <c r="K413" i="1" s="1"/>
  <c r="H414" i="1"/>
  <c r="K414" i="1" s="1"/>
  <c r="H415" i="1"/>
  <c r="H416" i="1"/>
  <c r="K416" i="1" s="1"/>
  <c r="H417" i="1"/>
  <c r="K417" i="1" s="1"/>
  <c r="H418" i="1"/>
  <c r="K418" i="1" s="1"/>
  <c r="H419" i="1"/>
  <c r="K419" i="1" s="1"/>
  <c r="H420" i="1"/>
  <c r="K420" i="1" s="1"/>
  <c r="H421" i="1"/>
  <c r="H422" i="1"/>
  <c r="H423" i="1"/>
  <c r="K423" i="1" s="1"/>
  <c r="H424" i="1"/>
  <c r="K424" i="1" s="1"/>
  <c r="H425" i="1"/>
  <c r="K425" i="1" s="1"/>
  <c r="H426" i="1"/>
  <c r="K426" i="1" s="1"/>
  <c r="H427" i="1"/>
  <c r="K427" i="1" s="1"/>
  <c r="H428" i="1"/>
  <c r="K428" i="1" s="1"/>
  <c r="H429" i="1"/>
  <c r="K429" i="1" s="1"/>
  <c r="H430" i="1"/>
  <c r="K430" i="1" s="1"/>
  <c r="H431" i="1"/>
  <c r="K431" i="1" s="1"/>
  <c r="H432" i="1"/>
  <c r="K432" i="1" s="1"/>
  <c r="H433" i="1"/>
  <c r="K433" i="1" s="1"/>
  <c r="H434" i="1"/>
  <c r="K434" i="1" s="1"/>
  <c r="H435" i="1"/>
  <c r="K435" i="1" s="1"/>
  <c r="H436" i="1"/>
  <c r="K436" i="1" s="1"/>
  <c r="H437" i="1"/>
  <c r="H438" i="1"/>
  <c r="K438" i="1" s="1"/>
  <c r="H439" i="1"/>
  <c r="H440" i="1"/>
  <c r="H441" i="1"/>
  <c r="H442" i="1"/>
  <c r="H443" i="1"/>
  <c r="H444" i="1"/>
  <c r="H445" i="1"/>
  <c r="K445" i="1" s="1"/>
  <c r="H446" i="1"/>
  <c r="K446" i="1" s="1"/>
  <c r="H447" i="1"/>
  <c r="K447" i="1" s="1"/>
  <c r="H448" i="1"/>
  <c r="K448" i="1" s="1"/>
  <c r="H323" i="1"/>
  <c r="K323" i="1" s="1"/>
  <c r="K336" i="1"/>
  <c r="I399" i="1" s="1"/>
  <c r="K337" i="1"/>
  <c r="I400" i="1" s="1"/>
  <c r="K395" i="1"/>
  <c r="K396" i="1"/>
  <c r="K398" i="1"/>
  <c r="K437" i="1"/>
  <c r="K439" i="1"/>
  <c r="K440" i="1"/>
  <c r="K399" i="1"/>
  <c r="K421" i="1"/>
  <c r="K422" i="1"/>
  <c r="K443" i="1"/>
  <c r="K444" i="1"/>
  <c r="K393" i="1"/>
  <c r="K415" i="1"/>
  <c r="K441" i="1"/>
  <c r="K442" i="1"/>
  <c r="E24" i="5"/>
  <c r="F24" i="5" s="1"/>
  <c r="E23" i="5"/>
  <c r="F23" i="5" s="1"/>
  <c r="E22" i="5"/>
  <c r="F22" i="5" s="1"/>
  <c r="E21" i="5"/>
  <c r="F21" i="5" s="1"/>
  <c r="E20" i="5"/>
  <c r="F20" i="5" s="1"/>
  <c r="E19" i="5"/>
  <c r="F19" i="5" s="1"/>
  <c r="E18" i="5"/>
  <c r="F18" i="5" s="1"/>
  <c r="E17" i="5"/>
  <c r="F17" i="5" s="1"/>
  <c r="E16" i="5"/>
  <c r="F16" i="5" s="1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F7" i="5" s="1"/>
  <c r="E6" i="5"/>
  <c r="F6" i="5" s="1"/>
  <c r="E5" i="5"/>
  <c r="F5" i="5" s="1"/>
  <c r="E4" i="5"/>
  <c r="F4" i="5" s="1"/>
  <c r="E3" i="5"/>
  <c r="F3" i="5" s="1"/>
  <c r="E2" i="5"/>
  <c r="F2" i="5" s="1"/>
  <c r="E24" i="4"/>
  <c r="F24" i="4" s="1"/>
  <c r="E23" i="4"/>
  <c r="F23" i="4" s="1"/>
  <c r="E22" i="4"/>
  <c r="F22" i="4" s="1"/>
  <c r="E21" i="4"/>
  <c r="F21" i="4" s="1"/>
  <c r="E20" i="4"/>
  <c r="F20" i="4" s="1"/>
  <c r="E19" i="4"/>
  <c r="F19" i="4" s="1"/>
  <c r="E18" i="4"/>
  <c r="F18" i="4" s="1"/>
  <c r="E17" i="4"/>
  <c r="F17" i="4" s="1"/>
  <c r="E16" i="4"/>
  <c r="F16" i="4" s="1"/>
  <c r="E15" i="4"/>
  <c r="F15" i="4" s="1"/>
  <c r="E14" i="4"/>
  <c r="F14" i="4" s="1"/>
  <c r="E13" i="4"/>
  <c r="F13" i="4" s="1"/>
  <c r="E12" i="4"/>
  <c r="F12" i="4" s="1"/>
  <c r="E11" i="4"/>
  <c r="F11" i="4" s="1"/>
  <c r="E10" i="4"/>
  <c r="F10" i="4" s="1"/>
  <c r="E9" i="4"/>
  <c r="F9" i="4" s="1"/>
  <c r="E8" i="4"/>
  <c r="F8" i="4" s="1"/>
  <c r="E7" i="4"/>
  <c r="F7" i="4" s="1"/>
  <c r="E6" i="4"/>
  <c r="F6" i="4" s="1"/>
  <c r="E5" i="4"/>
  <c r="F5" i="4" s="1"/>
  <c r="E4" i="4"/>
  <c r="F4" i="4" s="1"/>
  <c r="E3" i="4"/>
  <c r="F3" i="4" s="1"/>
  <c r="E2" i="4"/>
  <c r="F2" i="4" s="1"/>
  <c r="E24" i="3"/>
  <c r="F24" i="3" s="1"/>
  <c r="E23" i="3"/>
  <c r="F23" i="3" s="1"/>
  <c r="E22" i="3"/>
  <c r="F22" i="3" s="1"/>
  <c r="E21" i="3"/>
  <c r="F21" i="3" s="1"/>
  <c r="E20" i="3"/>
  <c r="F20" i="3" s="1"/>
  <c r="E19" i="3"/>
  <c r="F19" i="3" s="1"/>
  <c r="E18" i="3"/>
  <c r="F18" i="3" s="1"/>
  <c r="E17" i="3"/>
  <c r="F17" i="3" s="1"/>
  <c r="E16" i="3"/>
  <c r="F16" i="3" s="1"/>
  <c r="E15" i="3"/>
  <c r="F15" i="3" s="1"/>
  <c r="E14" i="3"/>
  <c r="F14" i="3" s="1"/>
  <c r="E13" i="3"/>
  <c r="F13" i="3" s="1"/>
  <c r="E12" i="3"/>
  <c r="F12" i="3" s="1"/>
  <c r="E11" i="3"/>
  <c r="F11" i="3" s="1"/>
  <c r="E10" i="3"/>
  <c r="F10" i="3" s="1"/>
  <c r="E9" i="3"/>
  <c r="F9" i="3" s="1"/>
  <c r="E8" i="3"/>
  <c r="F8" i="3" s="1"/>
  <c r="E7" i="3"/>
  <c r="F7" i="3" s="1"/>
  <c r="E6" i="3"/>
  <c r="F6" i="3" s="1"/>
  <c r="E5" i="3"/>
  <c r="F5" i="3" s="1"/>
  <c r="E4" i="3"/>
  <c r="F4" i="3" s="1"/>
  <c r="E3" i="3"/>
  <c r="F3" i="3" s="1"/>
  <c r="E2" i="3"/>
  <c r="F2" i="3" s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2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2" i="1"/>
  <c r="K325" i="1" l="1"/>
  <c r="I388" i="1" s="1"/>
  <c r="H345" i="1"/>
  <c r="K345" i="1" s="1"/>
  <c r="H357" i="1"/>
  <c r="H364" i="1"/>
  <c r="H361" i="1"/>
  <c r="K361" i="1" s="1"/>
  <c r="I424" i="1" s="1"/>
  <c r="H360" i="1"/>
  <c r="H359" i="1"/>
  <c r="K359" i="1" s="1"/>
  <c r="I386" i="1"/>
  <c r="H344" i="1"/>
  <c r="H358" i="1"/>
  <c r="H356" i="1"/>
  <c r="K356" i="1" s="1"/>
  <c r="I419" i="1" s="1"/>
  <c r="H355" i="1"/>
  <c r="K355" i="1" s="1"/>
  <c r="I418" i="1" s="1"/>
  <c r="H353" i="1"/>
  <c r="K353" i="1" s="1"/>
  <c r="H352" i="1"/>
  <c r="K352" i="1" s="1"/>
  <c r="H351" i="1"/>
  <c r="K351" i="1" s="1"/>
  <c r="H350" i="1"/>
  <c r="K350" i="1" s="1"/>
  <c r="I413" i="1" s="1"/>
  <c r="K333" i="1"/>
  <c r="I396" i="1" s="1"/>
  <c r="H349" i="1"/>
  <c r="K349" i="1" s="1"/>
  <c r="I412" i="1" s="1"/>
  <c r="H348" i="1"/>
  <c r="K348" i="1" s="1"/>
  <c r="H369" i="1" s="1"/>
  <c r="H347" i="1"/>
  <c r="K347" i="1" s="1"/>
  <c r="I410" i="1" s="1"/>
  <c r="I408" i="1"/>
  <c r="H366" i="1"/>
  <c r="I393" i="1"/>
  <c r="K363" i="1"/>
  <c r="I405" i="1"/>
  <c r="K362" i="1"/>
  <c r="I404" i="1"/>
  <c r="K364" i="1"/>
  <c r="K358" i="1"/>
  <c r="K357" i="1"/>
  <c r="H376" i="1" l="1"/>
  <c r="H346" i="1"/>
  <c r="I411" i="1"/>
  <c r="H368" i="1"/>
  <c r="K368" i="1" s="1"/>
  <c r="I431" i="1" s="1"/>
  <c r="H382" i="1"/>
  <c r="K382" i="1" s="1"/>
  <c r="I445" i="1" s="1"/>
  <c r="H370" i="1"/>
  <c r="H371" i="1"/>
  <c r="H354" i="1"/>
  <c r="H377" i="1"/>
  <c r="K344" i="1"/>
  <c r="I407" i="1" s="1"/>
  <c r="H365" i="1"/>
  <c r="K365" i="1" s="1"/>
  <c r="I428" i="1" s="1"/>
  <c r="I415" i="1"/>
  <c r="H373" i="1"/>
  <c r="K373" i="1" s="1"/>
  <c r="I436" i="1" s="1"/>
  <c r="I416" i="1"/>
  <c r="H374" i="1"/>
  <c r="K374" i="1" s="1"/>
  <c r="I437" i="1" s="1"/>
  <c r="I420" i="1"/>
  <c r="H378" i="1"/>
  <c r="K378" i="1" s="1"/>
  <c r="I441" i="1" s="1"/>
  <c r="I421" i="1"/>
  <c r="H379" i="1"/>
  <c r="K379" i="1" s="1"/>
  <c r="I442" i="1" s="1"/>
  <c r="I422" i="1"/>
  <c r="H380" i="1"/>
  <c r="K380" i="1" s="1"/>
  <c r="I443" i="1" s="1"/>
  <c r="I427" i="1"/>
  <c r="H385" i="1"/>
  <c r="K385" i="1" s="1"/>
  <c r="I448" i="1" s="1"/>
  <c r="I425" i="1"/>
  <c r="H383" i="1"/>
  <c r="K383" i="1" s="1"/>
  <c r="I446" i="1" s="1"/>
  <c r="I426" i="1"/>
  <c r="H384" i="1"/>
  <c r="K384" i="1" s="1"/>
  <c r="I447" i="1" s="1"/>
  <c r="I414" i="1"/>
  <c r="H372" i="1"/>
  <c r="K372" i="1" s="1"/>
  <c r="I435" i="1" s="1"/>
  <c r="K366" i="1"/>
  <c r="I429" i="1" s="1"/>
  <c r="K360" i="1"/>
  <c r="H381" i="1" s="1"/>
  <c r="K371" i="1"/>
  <c r="I434" i="1" s="1"/>
  <c r="K376" i="1"/>
  <c r="I439" i="1" s="1"/>
  <c r="K369" i="1"/>
  <c r="I432" i="1" s="1"/>
  <c r="K370" i="1"/>
  <c r="I433" i="1" s="1"/>
  <c r="K346" i="1" l="1"/>
  <c r="I409" i="1" s="1"/>
  <c r="H367" i="1"/>
  <c r="K367" i="1" s="1"/>
  <c r="I430" i="1" s="1"/>
  <c r="K354" i="1"/>
  <c r="I417" i="1" s="1"/>
  <c r="K381" i="1"/>
  <c r="I444" i="1" s="1"/>
  <c r="I423" i="1"/>
  <c r="K377" i="1"/>
  <c r="I440" i="1" s="1"/>
  <c r="H375" i="1" l="1"/>
  <c r="K375" i="1" s="1"/>
  <c r="I438" i="1" s="1"/>
  <c r="N362" i="1"/>
  <c r="N341" i="1"/>
  <c r="N164" i="1"/>
  <c r="N383" i="1"/>
  <c r="N183" i="1"/>
  <c r="N221" i="1"/>
  <c r="N259" i="1"/>
  <c r="N299" i="1"/>
  <c r="N202" i="1"/>
  <c r="N240" i="1"/>
  <c r="N278" i="1"/>
  <c r="N320" i="1"/>
  <c r="N297" i="1"/>
  <c r="N318" i="1"/>
  <c r="N219" i="1"/>
  <c r="N339" i="1"/>
  <c r="N162" i="1"/>
  <c r="N360" i="1"/>
  <c r="N238" i="1"/>
  <c r="N381" i="1"/>
  <c r="N200" i="1"/>
  <c r="N257" i="1"/>
  <c r="N276" i="1"/>
  <c r="N181" i="1"/>
  <c r="N275" i="1"/>
  <c r="N33" i="1"/>
  <c r="N317" i="1"/>
  <c r="N296" i="1"/>
  <c r="N65" i="1"/>
  <c r="N129" i="1"/>
  <c r="N338" i="1"/>
  <c r="N161" i="1"/>
  <c r="N180" i="1"/>
  <c r="N113" i="1"/>
  <c r="N17" i="1"/>
  <c r="N218" i="1"/>
  <c r="N97" i="1"/>
  <c r="N81" i="1"/>
  <c r="N49" i="1"/>
  <c r="N359" i="1"/>
  <c r="N256" i="1"/>
  <c r="N199" i="1"/>
  <c r="N145" i="1"/>
  <c r="N237" i="1"/>
  <c r="N380" i="1"/>
  <c r="N154" i="1"/>
  <c r="N352" i="1"/>
  <c r="N230" i="1"/>
  <c r="N10" i="1"/>
  <c r="N373" i="1"/>
  <c r="N173" i="1"/>
  <c r="N74" i="1"/>
  <c r="N249" i="1"/>
  <c r="N106" i="1"/>
  <c r="N331" i="1"/>
  <c r="N192" i="1"/>
  <c r="N138" i="1"/>
  <c r="N58" i="1"/>
  <c r="N211" i="1"/>
  <c r="N122" i="1"/>
  <c r="N310" i="1"/>
  <c r="N268" i="1"/>
  <c r="N26" i="1"/>
  <c r="N90" i="1"/>
  <c r="N42" i="1"/>
  <c r="N289" i="1"/>
  <c r="N132" i="1"/>
  <c r="N186" i="1"/>
  <c r="N283" i="1"/>
  <c r="N52" i="1"/>
  <c r="N304" i="1"/>
  <c r="N205" i="1"/>
  <c r="N84" i="1"/>
  <c r="N167" i="1"/>
  <c r="N100" i="1"/>
  <c r="N4" i="1"/>
  <c r="N243" i="1"/>
  <c r="N116" i="1"/>
  <c r="N325" i="1"/>
  <c r="N148" i="1"/>
  <c r="N68" i="1"/>
  <c r="N224" i="1"/>
  <c r="N346" i="1"/>
  <c r="N367" i="1"/>
  <c r="N36" i="1"/>
  <c r="N262" i="1"/>
  <c r="N20" i="1"/>
  <c r="N242" i="1"/>
  <c r="N99" i="1"/>
  <c r="N131" i="1"/>
  <c r="N261" i="1"/>
  <c r="N19" i="1"/>
  <c r="N282" i="1"/>
  <c r="N51" i="1"/>
  <c r="N166" i="1"/>
  <c r="N204" i="1"/>
  <c r="N83" i="1"/>
  <c r="N3" i="1"/>
  <c r="N185" i="1"/>
  <c r="N366" i="1"/>
  <c r="N147" i="1"/>
  <c r="N67" i="1"/>
  <c r="N223" i="1"/>
  <c r="N324" i="1"/>
  <c r="N35" i="1"/>
  <c r="N303" i="1"/>
  <c r="N115" i="1"/>
  <c r="N345" i="1"/>
  <c r="N385" i="1"/>
  <c r="N301" i="1"/>
  <c r="N343" i="1"/>
  <c r="N364" i="1"/>
  <c r="N280" i="1"/>
  <c r="N322" i="1"/>
  <c r="N165" i="1"/>
  <c r="N66" i="1"/>
  <c r="N98" i="1"/>
  <c r="N241" i="1"/>
  <c r="N184" i="1"/>
  <c r="N260" i="1"/>
  <c r="N18" i="1"/>
  <c r="N302" i="1"/>
  <c r="N344" i="1"/>
  <c r="N203" i="1"/>
  <c r="N82" i="1"/>
  <c r="N2" i="1"/>
  <c r="N281" i="1"/>
  <c r="N146" i="1"/>
  <c r="N365" i="1"/>
  <c r="N323" i="1"/>
  <c r="N50" i="1"/>
  <c r="N130" i="1"/>
  <c r="N222" i="1"/>
  <c r="N114" i="1"/>
  <c r="N34" i="1"/>
  <c r="N121" i="1"/>
  <c r="N153" i="1"/>
  <c r="N41" i="1"/>
  <c r="N172" i="1"/>
  <c r="N73" i="1"/>
  <c r="N191" i="1"/>
  <c r="N137" i="1"/>
  <c r="N57" i="1"/>
  <c r="N9" i="1"/>
  <c r="N229" i="1"/>
  <c r="N105" i="1"/>
  <c r="N25" i="1"/>
  <c r="N210" i="1"/>
  <c r="N89" i="1"/>
  <c r="N248" i="1"/>
  <c r="N209" i="1"/>
  <c r="N88" i="1"/>
  <c r="N120" i="1"/>
  <c r="N228" i="1"/>
  <c r="N8" i="1"/>
  <c r="N40" i="1"/>
  <c r="N247" i="1"/>
  <c r="N72" i="1"/>
  <c r="N152" i="1"/>
  <c r="N136" i="1"/>
  <c r="N56" i="1"/>
  <c r="N190" i="1"/>
  <c r="N171" i="1"/>
  <c r="N104" i="1"/>
  <c r="N24" i="1"/>
  <c r="N231" i="1" l="1"/>
  <c r="N11" i="1"/>
  <c r="N374" i="1"/>
  <c r="N43" i="1"/>
  <c r="N250" i="1"/>
  <c r="N107" i="1"/>
  <c r="N139" i="1"/>
  <c r="N193" i="1"/>
  <c r="N59" i="1"/>
  <c r="N311" i="1"/>
  <c r="N27" i="1"/>
  <c r="N174" i="1"/>
  <c r="N91" i="1"/>
  <c r="N123" i="1"/>
  <c r="N269" i="1"/>
  <c r="N212" i="1"/>
  <c r="N290" i="1"/>
  <c r="N353" i="1"/>
  <c r="N155" i="1"/>
  <c r="N75" i="1"/>
  <c r="N332" i="1"/>
  <c r="N264" i="1"/>
  <c r="N22" i="1"/>
  <c r="N54" i="1"/>
  <c r="N306" i="1"/>
  <c r="N285" i="1"/>
  <c r="N118" i="1"/>
  <c r="N327" i="1"/>
  <c r="N150" i="1"/>
  <c r="N207" i="1"/>
  <c r="N86" i="1"/>
  <c r="N369" i="1"/>
  <c r="N245" i="1"/>
  <c r="N70" i="1"/>
  <c r="N134" i="1"/>
  <c r="N226" i="1"/>
  <c r="N188" i="1"/>
  <c r="N38" i="1"/>
  <c r="N348" i="1"/>
  <c r="N169" i="1"/>
  <c r="N6" i="1"/>
  <c r="N102" i="1"/>
  <c r="N44" i="1"/>
  <c r="N175" i="1"/>
  <c r="N76" i="1"/>
  <c r="N140" i="1"/>
  <c r="N194" i="1"/>
  <c r="N232" i="1"/>
  <c r="N124" i="1"/>
  <c r="N354" i="1"/>
  <c r="N28" i="1"/>
  <c r="N108" i="1"/>
  <c r="N12" i="1"/>
  <c r="N291" i="1"/>
  <c r="N251" i="1"/>
  <c r="N270" i="1"/>
  <c r="N213" i="1"/>
  <c r="N92" i="1"/>
  <c r="N375" i="1"/>
  <c r="N333" i="1"/>
  <c r="N312" i="1"/>
  <c r="N60" i="1"/>
  <c r="N156" i="1"/>
  <c r="N319" i="1"/>
  <c r="N220" i="1"/>
  <c r="N340" i="1"/>
  <c r="N361" i="1"/>
  <c r="N239" i="1"/>
  <c r="N382" i="1"/>
  <c r="N258" i="1"/>
  <c r="N163" i="1"/>
  <c r="N201" i="1"/>
  <c r="N298" i="1"/>
  <c r="N277" i="1"/>
  <c r="N182" i="1"/>
  <c r="N187" i="1"/>
  <c r="N263" i="1"/>
  <c r="N21" i="1"/>
  <c r="N305" i="1"/>
  <c r="N206" i="1"/>
  <c r="N85" i="1"/>
  <c r="N117" i="1"/>
  <c r="N5" i="1"/>
  <c r="N368" i="1"/>
  <c r="N244" i="1"/>
  <c r="N149" i="1"/>
  <c r="N69" i="1"/>
  <c r="N53" i="1"/>
  <c r="N133" i="1"/>
  <c r="N225" i="1"/>
  <c r="N37" i="1"/>
  <c r="N326" i="1"/>
  <c r="N284" i="1"/>
  <c r="N347" i="1"/>
  <c r="N168" i="1"/>
  <c r="N101" i="1"/>
  <c r="N286" i="1"/>
  <c r="N55" i="1"/>
  <c r="N307" i="1"/>
  <c r="N208" i="1"/>
  <c r="N87" i="1"/>
  <c r="N328" i="1"/>
  <c r="N151" i="1"/>
  <c r="N349" i="1"/>
  <c r="N227" i="1"/>
  <c r="N7" i="1"/>
  <c r="N370" i="1"/>
  <c r="N246" i="1"/>
  <c r="N71" i="1"/>
  <c r="N189" i="1"/>
  <c r="N135" i="1"/>
  <c r="N39" i="1"/>
  <c r="N119" i="1"/>
  <c r="N265" i="1"/>
  <c r="N170" i="1"/>
  <c r="N103" i="1"/>
  <c r="N23" i="1"/>
  <c r="N308" i="1"/>
  <c r="N329" i="1"/>
  <c r="N350" i="1"/>
  <c r="N371" i="1"/>
  <c r="N287" i="1"/>
  <c r="N266" i="1"/>
  <c r="N330" i="1"/>
  <c r="N351" i="1"/>
  <c r="N372" i="1"/>
  <c r="N288" i="1"/>
  <c r="N267" i="1"/>
  <c r="N309" i="1"/>
  <c r="N143" i="1"/>
  <c r="N197" i="1"/>
  <c r="N294" i="1"/>
  <c r="N63" i="1"/>
  <c r="N315" i="1"/>
  <c r="N216" i="1"/>
  <c r="N95" i="1"/>
  <c r="N357" i="1"/>
  <c r="N273" i="1"/>
  <c r="N31" i="1"/>
  <c r="N178" i="1"/>
  <c r="N111" i="1"/>
  <c r="N378" i="1"/>
  <c r="N79" i="1"/>
  <c r="N15" i="1"/>
  <c r="N336" i="1"/>
  <c r="N159" i="1"/>
  <c r="N254" i="1"/>
  <c r="N235" i="1"/>
  <c r="N127" i="1"/>
  <c r="N47" i="1"/>
  <c r="N384" i="1"/>
  <c r="N363" i="1"/>
  <c r="N342" i="1"/>
  <c r="N279" i="1"/>
  <c r="N321" i="1"/>
  <c r="N300" i="1"/>
  <c r="N198" i="1"/>
  <c r="N274" i="1"/>
  <c r="N32" i="1"/>
  <c r="N295" i="1"/>
  <c r="N316" i="1"/>
  <c r="N217" i="1"/>
  <c r="N96" i="1"/>
  <c r="N128" i="1"/>
  <c r="N179" i="1"/>
  <c r="N112" i="1"/>
  <c r="N16" i="1"/>
  <c r="N379" i="1"/>
  <c r="N255" i="1"/>
  <c r="N80" i="1"/>
  <c r="N64" i="1"/>
  <c r="N236" i="1"/>
  <c r="N337" i="1"/>
  <c r="N160" i="1"/>
  <c r="N144" i="1"/>
  <c r="N48" i="1"/>
  <c r="N358" i="1"/>
  <c r="N176" i="1"/>
  <c r="N77" i="1"/>
  <c r="N252" i="1"/>
  <c r="N109" i="1"/>
  <c r="N195" i="1"/>
  <c r="N271" i="1"/>
  <c r="N29" i="1"/>
  <c r="N233" i="1"/>
  <c r="N125" i="1"/>
  <c r="N45" i="1"/>
  <c r="N355" i="1"/>
  <c r="N313" i="1"/>
  <c r="N157" i="1"/>
  <c r="N214" i="1"/>
  <c r="N93" i="1"/>
  <c r="N13" i="1"/>
  <c r="N376" i="1"/>
  <c r="N292" i="1"/>
  <c r="N334" i="1"/>
  <c r="N141" i="1"/>
  <c r="N61" i="1"/>
  <c r="N253" i="1"/>
  <c r="N110" i="1"/>
  <c r="N142" i="1"/>
  <c r="N272" i="1"/>
  <c r="N30" i="1"/>
  <c r="N293" i="1"/>
  <c r="N62" i="1"/>
  <c r="N234" i="1"/>
  <c r="N126" i="1"/>
  <c r="N46" i="1"/>
  <c r="N356" i="1"/>
  <c r="N314" i="1"/>
  <c r="N215" i="1"/>
  <c r="N158" i="1"/>
  <c r="N94" i="1"/>
  <c r="N14" i="1"/>
  <c r="N377" i="1"/>
  <c r="N78" i="1"/>
  <c r="N177" i="1"/>
  <c r="N335" i="1"/>
  <c r="N196" i="1"/>
</calcChain>
</file>

<file path=xl/sharedStrings.xml><?xml version="1.0" encoding="utf-8"?>
<sst xmlns="http://schemas.openxmlformats.org/spreadsheetml/2006/main" count="673" uniqueCount="58">
  <si>
    <t>Tanggal</t>
  </si>
  <si>
    <t>Nama Produk</t>
  </si>
  <si>
    <t>Lantai</t>
  </si>
  <si>
    <t>Harga Jual</t>
  </si>
  <si>
    <t>Display Ideal</t>
  </si>
  <si>
    <t>Inventory</t>
  </si>
  <si>
    <t>Stock Pagi</t>
  </si>
  <si>
    <t>Stock Sore Olsera</t>
  </si>
  <si>
    <t>Restock h+1</t>
  </si>
  <si>
    <t>Stock Sore</t>
  </si>
  <si>
    <t>Terjual</t>
  </si>
  <si>
    <t>Uang Seharusnya Dibayar</t>
  </si>
  <si>
    <t>Bawang Goreng</t>
  </si>
  <si>
    <t>Keripik Tempe</t>
  </si>
  <si>
    <t>Keripik Singkong</t>
  </si>
  <si>
    <t>Kentang Mustofa Daun Jeruk</t>
  </si>
  <si>
    <t>Komicin</t>
  </si>
  <si>
    <t>DeSnack</t>
  </si>
  <si>
    <t>Macaroni</t>
  </si>
  <si>
    <t>Cimol Kering</t>
  </si>
  <si>
    <t>Popcorn Ori</t>
  </si>
  <si>
    <t>Popcorn Rasa</t>
  </si>
  <si>
    <t>Pop Mie Mini</t>
  </si>
  <si>
    <t>Mie Gemez</t>
  </si>
  <si>
    <t>Cheetos</t>
  </si>
  <si>
    <t>Amplang</t>
  </si>
  <si>
    <t>Pisang Sale</t>
  </si>
  <si>
    <t>Kacang Disco</t>
  </si>
  <si>
    <t>Sari gandum</t>
  </si>
  <si>
    <t>Yogurt</t>
  </si>
  <si>
    <t>Lemonilo chimi</t>
  </si>
  <si>
    <t>JajanYuk 18</t>
  </si>
  <si>
    <t>JajanYuk 21</t>
  </si>
  <si>
    <t>Popcorn ori</t>
  </si>
  <si>
    <t>PopMie besar</t>
  </si>
  <si>
    <t>YouC</t>
  </si>
  <si>
    <t>Produk</t>
  </si>
  <si>
    <t>lantai</t>
  </si>
  <si>
    <t>Jumlah</t>
  </si>
  <si>
    <t>Actual</t>
  </si>
  <si>
    <t>Display</t>
  </si>
  <si>
    <t>Notes</t>
  </si>
  <si>
    <t>Restock</t>
  </si>
  <si>
    <t xml:space="preserve">YouC </t>
  </si>
  <si>
    <t>=IF(MAX(D323-I323,0)&lt;</t>
  </si>
  <si>
    <t>Harga Beli</t>
  </si>
  <si>
    <t>Nama</t>
  </si>
  <si>
    <t>PopMie Besar</t>
  </si>
  <si>
    <t>No</t>
  </si>
  <si>
    <t>Nama Karyawan</t>
  </si>
  <si>
    <t>Florida</t>
  </si>
  <si>
    <t>Geby</t>
  </si>
  <si>
    <t>Desy</t>
  </si>
  <si>
    <t>Compliance</t>
  </si>
  <si>
    <t>Damaz</t>
  </si>
  <si>
    <t>Yohannes</t>
  </si>
  <si>
    <t>Vale</t>
  </si>
  <si>
    <t>Sherly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</si>
</sst>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Rp&quot;#,##0;[Red]\-&quot;Rp&quot;#,##0"/>
    <numFmt numFmtId="44" formatCode="_-&quot;Rp&quot;* #,##0.00_-;\-&quot;Rp&quot;* #,##0.00_-;_-&quot;Rp&quot;* &quot;-&quot;??_-;_-@_-"/>
    <numFmt numFmtId="164" formatCode="&quot;Rp&quot;#,##0.00"/>
  </numFmts>
  <fonts count="12" x14ac:knownFonts="1">
    <font>
      <sz val="11"/>
      <color theme="1"/>
      <name val="Aptos Narrow"/>
      <family val="2"/>
      <scheme val="minor"/>
    </font>
    <font>
      <b/>
      <sz val="11"/>
      <color rgb="FFFFFFFF"/>
      <name val="Arial"/>
      <family val="2"/>
    </font>
    <font>
      <b/>
      <sz val="11"/>
      <color rgb="FFFFFFFF"/>
      <name val="Aptos Narrow"/>
      <family val="2"/>
    </font>
    <font>
      <b/>
      <sz val="11"/>
      <name val="Arial"/>
      <family val="2"/>
    </font>
    <font>
      <b/>
      <sz val="11"/>
      <name val="Aptos Narrow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b/>
      <sz val="11"/>
      <color rgb="FFFF0000"/>
      <name val="Aptos Narrow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0E284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DAE9F8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EA9999"/>
        <bgColor indexed="64"/>
      </patternFill>
    </fill>
    <fill>
      <patternFill patternType="solid">
        <fgColor rgb="FF002060"/>
        <bgColor indexed="64"/>
      </patternFill>
    </fill>
  </fills>
  <borders count="1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4" fontId="10" fillId="0" borderId="0" applyFont="0" applyFill="0" applyBorder="0" applyAlignment="0" applyProtection="0"/>
  </cellStyleXfs>
  <cellXfs count="51">
    <xf numFmtId="0" fontId="0" fillId="0" borderId="0" xfId="0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6" fontId="5" fillId="4" borderId="4" xfId="0" applyNumberFormat="1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vertical="center" wrapText="1"/>
    </xf>
    <xf numFmtId="6" fontId="6" fillId="4" borderId="4" xfId="0" applyNumberFormat="1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7" fillId="4" borderId="4" xfId="0" applyFont="1" applyFill="1" applyBorder="1" applyAlignment="1">
      <alignment horizontal="center" vertical="center" wrapText="1"/>
    </xf>
    <xf numFmtId="6" fontId="5" fillId="5" borderId="5" xfId="0" applyNumberFormat="1" applyFont="1" applyFill="1" applyBorder="1" applyAlignment="1">
      <alignment horizontal="center" vertical="center" wrapText="1"/>
    </xf>
    <xf numFmtId="16" fontId="6" fillId="4" borderId="4" xfId="0" applyNumberFormat="1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vertical="center" wrapText="1"/>
    </xf>
    <xf numFmtId="0" fontId="8" fillId="4" borderId="4" xfId="0" applyFont="1" applyFill="1" applyBorder="1" applyAlignment="1">
      <alignment vertical="center" wrapText="1"/>
    </xf>
    <xf numFmtId="6" fontId="5" fillId="5" borderId="6" xfId="0" applyNumberFormat="1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14" fontId="8" fillId="0" borderId="7" xfId="0" applyNumberFormat="1" applyFont="1" applyBorder="1" applyAlignment="1">
      <alignment horizontal="right" wrapText="1"/>
    </xf>
    <xf numFmtId="0" fontId="8" fillId="0" borderId="7" xfId="0" applyFont="1" applyBorder="1" applyAlignment="1">
      <alignment wrapText="1"/>
    </xf>
    <xf numFmtId="0" fontId="8" fillId="0" borderId="7" xfId="0" applyFont="1" applyBorder="1" applyAlignment="1">
      <alignment horizontal="center" wrapText="1"/>
    </xf>
    <xf numFmtId="6" fontId="8" fillId="0" borderId="7" xfId="0" applyNumberFormat="1" applyFont="1" applyBorder="1" applyAlignment="1">
      <alignment horizontal="right" wrapText="1"/>
    </xf>
    <xf numFmtId="0" fontId="8" fillId="0" borderId="7" xfId="0" applyFont="1" applyBorder="1" applyAlignment="1">
      <alignment horizontal="center" vertical="center" wrapText="1"/>
    </xf>
    <xf numFmtId="16" fontId="6" fillId="9" borderId="10" xfId="0" applyNumberFormat="1" applyFont="1" applyFill="1" applyBorder="1" applyAlignment="1">
      <alignment readingOrder="1"/>
    </xf>
    <xf numFmtId="0" fontId="6" fillId="9" borderId="11" xfId="0" applyFont="1" applyFill="1" applyBorder="1" applyAlignment="1">
      <alignment readingOrder="1"/>
    </xf>
    <xf numFmtId="0" fontId="6" fillId="10" borderId="11" xfId="0" applyFont="1" applyFill="1" applyBorder="1" applyAlignment="1">
      <alignment readingOrder="1"/>
    </xf>
    <xf numFmtId="16" fontId="6" fillId="11" borderId="10" xfId="0" applyNumberFormat="1" applyFont="1" applyFill="1" applyBorder="1" applyAlignment="1">
      <alignment readingOrder="1"/>
    </xf>
    <xf numFmtId="0" fontId="6" fillId="11" borderId="11" xfId="0" applyFont="1" applyFill="1" applyBorder="1" applyAlignment="1">
      <alignment readingOrder="1"/>
    </xf>
    <xf numFmtId="16" fontId="6" fillId="12" borderId="10" xfId="0" applyNumberFormat="1" applyFont="1" applyFill="1" applyBorder="1" applyAlignment="1">
      <alignment readingOrder="1"/>
    </xf>
    <xf numFmtId="0" fontId="6" fillId="12" borderId="11" xfId="0" applyFont="1" applyFill="1" applyBorder="1" applyAlignment="1">
      <alignment readingOrder="1"/>
    </xf>
    <xf numFmtId="0" fontId="9" fillId="7" borderId="7" xfId="0" applyFont="1" applyFill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14" fontId="8" fillId="0" borderId="7" xfId="0" applyNumberFormat="1" applyFont="1" applyBorder="1" applyAlignment="1">
      <alignment horizontal="left" vertical="top" wrapText="1"/>
    </xf>
    <xf numFmtId="0" fontId="8" fillId="0" borderId="7" xfId="0" applyFont="1" applyBorder="1" applyAlignment="1">
      <alignment horizontal="left" vertical="top" wrapText="1"/>
    </xf>
    <xf numFmtId="6" fontId="8" fillId="0" borderId="7" xfId="0" applyNumberFormat="1" applyFont="1" applyBorder="1" applyAlignment="1">
      <alignment horizontal="left" vertical="top" wrapText="1"/>
    </xf>
    <xf numFmtId="0" fontId="6" fillId="8" borderId="8" xfId="0" applyFont="1" applyFill="1" applyBorder="1" applyAlignment="1">
      <alignment readingOrder="1"/>
    </xf>
    <xf numFmtId="0" fontId="6" fillId="8" borderId="9" xfId="0" applyFont="1" applyFill="1" applyBorder="1" applyAlignment="1">
      <alignment readingOrder="1"/>
    </xf>
    <xf numFmtId="0" fontId="0" fillId="0" borderId="8" xfId="0" applyBorder="1" applyAlignment="1">
      <alignment horizontal="center"/>
    </xf>
    <xf numFmtId="0" fontId="5" fillId="4" borderId="12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11" fillId="13" borderId="4" xfId="0" applyFont="1" applyFill="1" applyBorder="1" applyAlignment="1">
      <alignment horizontal="center" vertical="center"/>
    </xf>
    <xf numFmtId="0" fontId="11" fillId="13" borderId="4" xfId="0" applyFont="1" applyFill="1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164" fontId="0" fillId="0" borderId="4" xfId="0" applyNumberFormat="1" applyBorder="1" applyAlignment="1">
      <alignment horizontal="center" vertical="center"/>
    </xf>
    <xf numFmtId="44" fontId="0" fillId="0" borderId="4" xfId="1" applyFont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68766\Downloads\master_data.xlsx" TargetMode="External"/><Relationship Id="rId1" Type="http://schemas.openxmlformats.org/officeDocument/2006/relationships/externalLinkPath" Target="file:///C:\Users\68766\Downloads\master_dat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69487_fif_co_id/Documents/Compliance/Compliance%20Culture/Tracking%20Stock%20dan%20Transaksi%20Warung%20Kejujuran.xlsx" TargetMode="External"/><Relationship Id="rId2" Type="http://schemas.openxmlformats.org/officeDocument/2006/relationships/externalLinkPath" Target="https://fifo365-my.sharepoint.com/personal/69487_fif_co_id/Documents/Compliance/Compliance%20Culture/Tracking%20Stock%20dan%20Transaksi%20Warung%20Kejujuran.xlsx" TargetMode="External"/><Relationship Id="rId1" Type="http://schemas.openxmlformats.org/officeDocument/2006/relationships/externalLinkPath" Target="/personal/69487_fif_co_id/Documents/Compliance/Compliance%20Culture/Tracking%20Stock%20dan%20Transaksi%20Warung%20Kejujura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antai3"/>
      <sheetName val="lantai8"/>
      <sheetName val="lantai9"/>
    </sheetNames>
    <sheetDataSet>
      <sheetData sheetId="0"/>
      <sheetData sheetId="1">
        <row r="1">
          <cell r="B1" t="str">
            <v>Produk</v>
          </cell>
        </row>
      </sheetData>
      <sheetData sheetId="2">
        <row r="1">
          <cell r="B1" t="str">
            <v>Produk</v>
          </cell>
          <cell r="C1" t="str">
            <v>lantai</v>
          </cell>
          <cell r="D1" t="str">
            <v>Jumlah</v>
          </cell>
          <cell r="E1" t="str">
            <v>Actual</v>
          </cell>
          <cell r="F1" t="str">
            <v>Display</v>
          </cell>
          <cell r="G1" t="str">
            <v>Harga Jual</v>
          </cell>
        </row>
        <row r="2">
          <cell r="B2" t="str">
            <v>Bawang Goreng</v>
          </cell>
          <cell r="C2">
            <v>9</v>
          </cell>
          <cell r="D2">
            <v>5</v>
          </cell>
          <cell r="E2">
            <v>1</v>
          </cell>
          <cell r="F2">
            <v>4</v>
          </cell>
          <cell r="G2">
            <v>35000</v>
          </cell>
        </row>
        <row r="3">
          <cell r="B3" t="str">
            <v>Keripik Tempe</v>
          </cell>
          <cell r="C3">
            <v>9</v>
          </cell>
          <cell r="D3">
            <v>6</v>
          </cell>
          <cell r="E3">
            <v>5</v>
          </cell>
          <cell r="F3">
            <v>1</v>
          </cell>
          <cell r="G3">
            <v>23000</v>
          </cell>
        </row>
        <row r="4">
          <cell r="B4" t="str">
            <v>Keripik Singkong</v>
          </cell>
          <cell r="C4">
            <v>9</v>
          </cell>
          <cell r="D4">
            <v>2</v>
          </cell>
          <cell r="E4">
            <v>0</v>
          </cell>
          <cell r="F4">
            <v>2</v>
          </cell>
          <cell r="G4">
            <v>21000</v>
          </cell>
        </row>
        <row r="5">
          <cell r="B5" t="str">
            <v>Kentang Mustofa Daun Jeruk</v>
          </cell>
          <cell r="C5">
            <v>9</v>
          </cell>
          <cell r="D5">
            <v>3</v>
          </cell>
          <cell r="E5">
            <v>0</v>
          </cell>
          <cell r="F5">
            <v>3</v>
          </cell>
          <cell r="G5">
            <v>36000</v>
          </cell>
        </row>
        <row r="6">
          <cell r="B6" t="str">
            <v>Komicin</v>
          </cell>
          <cell r="C6">
            <v>9</v>
          </cell>
          <cell r="D6">
            <v>5</v>
          </cell>
          <cell r="E6">
            <v>7</v>
          </cell>
          <cell r="F6">
            <v>-2</v>
          </cell>
          <cell r="G6">
            <v>23000</v>
          </cell>
        </row>
        <row r="7">
          <cell r="B7" t="str">
            <v>DeSnack</v>
          </cell>
          <cell r="C7">
            <v>9</v>
          </cell>
          <cell r="D7">
            <v>6</v>
          </cell>
          <cell r="E7">
            <v>0</v>
          </cell>
          <cell r="F7">
            <v>6</v>
          </cell>
          <cell r="G7">
            <v>15000</v>
          </cell>
        </row>
        <row r="8">
          <cell r="B8" t="str">
            <v>Macaroni</v>
          </cell>
          <cell r="C8">
            <v>9</v>
          </cell>
          <cell r="D8">
            <v>6</v>
          </cell>
          <cell r="E8">
            <v>0</v>
          </cell>
          <cell r="F8">
            <v>6</v>
          </cell>
          <cell r="G8">
            <v>18000</v>
          </cell>
        </row>
        <row r="9">
          <cell r="B9" t="str">
            <v>Cimol Kering</v>
          </cell>
          <cell r="C9">
            <v>9</v>
          </cell>
          <cell r="D9">
            <v>2</v>
          </cell>
          <cell r="E9">
            <v>0</v>
          </cell>
          <cell r="F9">
            <v>2</v>
          </cell>
          <cell r="G9">
            <v>21000</v>
          </cell>
        </row>
        <row r="10">
          <cell r="B10" t="str">
            <v>JajanYuk 18</v>
          </cell>
          <cell r="C10">
            <v>9</v>
          </cell>
          <cell r="D10">
            <v>4</v>
          </cell>
          <cell r="E10">
            <v>0</v>
          </cell>
          <cell r="F10">
            <v>4</v>
          </cell>
          <cell r="G10">
            <v>18000</v>
          </cell>
        </row>
        <row r="11">
          <cell r="B11" t="str">
            <v>JajanYuk 21</v>
          </cell>
          <cell r="C11">
            <v>9</v>
          </cell>
          <cell r="D11">
            <v>3</v>
          </cell>
          <cell r="E11">
            <v>1</v>
          </cell>
          <cell r="F11">
            <v>2</v>
          </cell>
          <cell r="G11">
            <v>21000</v>
          </cell>
        </row>
        <row r="12">
          <cell r="B12" t="str">
            <v>Popcorn Ori</v>
          </cell>
          <cell r="C12">
            <v>9</v>
          </cell>
          <cell r="D12">
            <v>2</v>
          </cell>
          <cell r="E12">
            <v>0</v>
          </cell>
          <cell r="F12">
            <v>2</v>
          </cell>
          <cell r="G12">
            <v>35000</v>
          </cell>
        </row>
        <row r="13">
          <cell r="B13" t="str">
            <v>Popcorn Rasa</v>
          </cell>
          <cell r="C13">
            <v>9</v>
          </cell>
          <cell r="D13">
            <v>4</v>
          </cell>
          <cell r="E13">
            <v>0</v>
          </cell>
          <cell r="F13">
            <v>4</v>
          </cell>
          <cell r="G13">
            <v>40000</v>
          </cell>
        </row>
        <row r="14">
          <cell r="B14" t="str">
            <v>Pop Mie Mini</v>
          </cell>
          <cell r="C14">
            <v>9</v>
          </cell>
          <cell r="D14">
            <v>12</v>
          </cell>
          <cell r="E14">
            <v>2</v>
          </cell>
          <cell r="F14">
            <v>10</v>
          </cell>
          <cell r="G14">
            <v>2500</v>
          </cell>
        </row>
        <row r="15">
          <cell r="B15" t="str">
            <v>Mie Gemez</v>
          </cell>
          <cell r="C15">
            <v>9</v>
          </cell>
          <cell r="D15">
            <v>10</v>
          </cell>
          <cell r="E15">
            <v>7</v>
          </cell>
          <cell r="F15">
            <v>3</v>
          </cell>
          <cell r="G15">
            <v>2000</v>
          </cell>
        </row>
        <row r="16">
          <cell r="B16" t="str">
            <v>Cheetos</v>
          </cell>
          <cell r="C16">
            <v>9</v>
          </cell>
          <cell r="D16">
            <v>10</v>
          </cell>
          <cell r="E16">
            <v>3</v>
          </cell>
          <cell r="F16">
            <v>7</v>
          </cell>
          <cell r="G16">
            <v>2500</v>
          </cell>
        </row>
        <row r="17">
          <cell r="B17" t="str">
            <v>Amplang</v>
          </cell>
          <cell r="C17">
            <v>9</v>
          </cell>
          <cell r="D17">
            <v>15</v>
          </cell>
          <cell r="E17">
            <v>0</v>
          </cell>
          <cell r="F17">
            <v>15</v>
          </cell>
          <cell r="G17">
            <v>10000</v>
          </cell>
        </row>
        <row r="18">
          <cell r="B18" t="str">
            <v>Pisang Sale</v>
          </cell>
          <cell r="C18">
            <v>9</v>
          </cell>
          <cell r="D18">
            <v>10</v>
          </cell>
          <cell r="E18">
            <v>9</v>
          </cell>
          <cell r="F18">
            <v>1</v>
          </cell>
          <cell r="G18">
            <v>15000</v>
          </cell>
        </row>
        <row r="19">
          <cell r="B19" t="str">
            <v>Kacang Disco</v>
          </cell>
          <cell r="C19">
            <v>9</v>
          </cell>
          <cell r="D19">
            <v>7</v>
          </cell>
          <cell r="E19">
            <v>0</v>
          </cell>
          <cell r="F19">
            <v>7</v>
          </cell>
          <cell r="G19">
            <v>23000</v>
          </cell>
        </row>
        <row r="20">
          <cell r="B20" t="str">
            <v>Sari gandum</v>
          </cell>
          <cell r="C20">
            <v>9</v>
          </cell>
          <cell r="D20">
            <v>8</v>
          </cell>
          <cell r="E20">
            <v>3</v>
          </cell>
          <cell r="F20">
            <v>5</v>
          </cell>
          <cell r="G20">
            <v>11000</v>
          </cell>
        </row>
        <row r="21">
          <cell r="B21" t="str">
            <v>Yogurt</v>
          </cell>
          <cell r="C21">
            <v>9</v>
          </cell>
          <cell r="D21">
            <v>6</v>
          </cell>
          <cell r="E21">
            <v>1</v>
          </cell>
          <cell r="F21">
            <v>5</v>
          </cell>
          <cell r="G21">
            <v>14500</v>
          </cell>
        </row>
        <row r="22">
          <cell r="B22" t="str">
            <v>Lemonilo chimi</v>
          </cell>
          <cell r="C22">
            <v>9</v>
          </cell>
          <cell r="D22">
            <v>20</v>
          </cell>
          <cell r="E22">
            <v>4</v>
          </cell>
          <cell r="F22">
            <v>16</v>
          </cell>
          <cell r="G22">
            <v>3500</v>
          </cell>
        </row>
        <row r="23">
          <cell r="B23" t="str">
            <v>PopMie besar</v>
          </cell>
          <cell r="C23">
            <v>9</v>
          </cell>
          <cell r="D23">
            <v>8</v>
          </cell>
          <cell r="E23">
            <v>3</v>
          </cell>
          <cell r="F23">
            <v>5</v>
          </cell>
          <cell r="G23">
            <v>5500</v>
          </cell>
        </row>
        <row r="24">
          <cell r="B24" t="str">
            <v>YouC</v>
          </cell>
          <cell r="C24">
            <v>9</v>
          </cell>
          <cell r="D24">
            <v>3</v>
          </cell>
          <cell r="E24">
            <v>1</v>
          </cell>
          <cell r="F24">
            <v>2</v>
          </cell>
          <cell r="G24">
            <v>9000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STER SO"/>
      <sheetName val="SO Warung"/>
      <sheetName val="Penjualan"/>
      <sheetName val="Sheet2"/>
      <sheetName val="Sheet1"/>
      <sheetName val="Stock Karyawan"/>
      <sheetName val="Hasil Transaksi"/>
    </sheetNames>
    <sheetDataSet>
      <sheetData sheetId="0"/>
      <sheetData sheetId="1">
        <row r="1">
          <cell r="A1" t="str">
            <v>Tanggal</v>
          </cell>
          <cell r="B1" t="str">
            <v>Nama Produk</v>
          </cell>
          <cell r="D1" t="str">
            <v>Lantai</v>
          </cell>
          <cell r="J1" t="str">
            <v>Terjual</v>
          </cell>
        </row>
        <row r="2">
          <cell r="A2">
            <v>46142</v>
          </cell>
          <cell r="B2" t="str">
            <v>Bawang Goreng</v>
          </cell>
          <cell r="D2">
            <v>3</v>
          </cell>
          <cell r="J2">
            <v>5</v>
          </cell>
        </row>
        <row r="3">
          <cell r="A3">
            <v>46142</v>
          </cell>
          <cell r="B3" t="str">
            <v>Keripik Tempe</v>
          </cell>
          <cell r="D3">
            <v>3</v>
          </cell>
          <cell r="J3">
            <v>6</v>
          </cell>
        </row>
        <row r="4">
          <cell r="A4">
            <v>46142</v>
          </cell>
          <cell r="B4" t="str">
            <v>Keripik Singkong</v>
          </cell>
          <cell r="D4">
            <v>3</v>
          </cell>
          <cell r="J4">
            <v>0</v>
          </cell>
        </row>
        <row r="5">
          <cell r="A5">
            <v>46142</v>
          </cell>
          <cell r="B5" t="str">
            <v>Kentang Mustofa Daun Jeruk</v>
          </cell>
          <cell r="D5">
            <v>3</v>
          </cell>
          <cell r="J5">
            <v>0</v>
          </cell>
        </row>
        <row r="6">
          <cell r="A6">
            <v>46142</v>
          </cell>
          <cell r="B6" t="str">
            <v>Komicin</v>
          </cell>
          <cell r="D6">
            <v>3</v>
          </cell>
          <cell r="J6">
            <v>3</v>
          </cell>
        </row>
        <row r="7">
          <cell r="A7">
            <v>46142</v>
          </cell>
          <cell r="B7" t="str">
            <v>DeSnack</v>
          </cell>
          <cell r="D7">
            <v>3</v>
          </cell>
          <cell r="J7">
            <v>1</v>
          </cell>
        </row>
        <row r="8">
          <cell r="A8">
            <v>46142</v>
          </cell>
          <cell r="B8" t="str">
            <v>Macaroni</v>
          </cell>
          <cell r="D8">
            <v>3</v>
          </cell>
          <cell r="J8">
            <v>2</v>
          </cell>
        </row>
        <row r="9">
          <cell r="A9">
            <v>46142</v>
          </cell>
          <cell r="B9" t="str">
            <v>Cimol Kering</v>
          </cell>
          <cell r="D9">
            <v>3</v>
          </cell>
          <cell r="J9">
            <v>0</v>
          </cell>
        </row>
        <row r="10">
          <cell r="A10">
            <v>46142</v>
          </cell>
          <cell r="B10" t="str">
            <v>Popcorn Ori</v>
          </cell>
          <cell r="D10">
            <v>3</v>
          </cell>
          <cell r="J10">
            <v>2</v>
          </cell>
        </row>
        <row r="11">
          <cell r="A11">
            <v>46142</v>
          </cell>
          <cell r="B11" t="str">
            <v>Popcorn Rasa</v>
          </cell>
          <cell r="D11">
            <v>3</v>
          </cell>
          <cell r="J11">
            <v>3</v>
          </cell>
        </row>
        <row r="12">
          <cell r="A12">
            <v>46142</v>
          </cell>
          <cell r="B12" t="str">
            <v>Pop Mie Mini</v>
          </cell>
          <cell r="D12">
            <v>3</v>
          </cell>
          <cell r="J12">
            <v>0</v>
          </cell>
        </row>
        <row r="13">
          <cell r="A13">
            <v>46142</v>
          </cell>
          <cell r="B13" t="str">
            <v>Mie Gemez</v>
          </cell>
          <cell r="D13">
            <v>3</v>
          </cell>
          <cell r="J13">
            <v>6</v>
          </cell>
        </row>
        <row r="14">
          <cell r="A14">
            <v>46142</v>
          </cell>
          <cell r="B14" t="str">
            <v>Cheetos</v>
          </cell>
          <cell r="D14">
            <v>3</v>
          </cell>
          <cell r="J14">
            <v>5</v>
          </cell>
        </row>
        <row r="15">
          <cell r="A15">
            <v>46142</v>
          </cell>
          <cell r="B15" t="str">
            <v>Amplang</v>
          </cell>
          <cell r="D15">
            <v>3</v>
          </cell>
          <cell r="J15">
            <v>0</v>
          </cell>
        </row>
        <row r="16">
          <cell r="A16">
            <v>46142</v>
          </cell>
          <cell r="B16" t="str">
            <v>Pisang Sale</v>
          </cell>
          <cell r="D16">
            <v>3</v>
          </cell>
          <cell r="J16">
            <v>2</v>
          </cell>
        </row>
        <row r="17">
          <cell r="A17">
            <v>46142</v>
          </cell>
          <cell r="B17" t="str">
            <v>Kacang Disco</v>
          </cell>
          <cell r="D17">
            <v>3</v>
          </cell>
          <cell r="J17">
            <v>1</v>
          </cell>
        </row>
        <row r="18">
          <cell r="A18">
            <v>46142</v>
          </cell>
          <cell r="B18" t="str">
            <v>Bawang Goreng</v>
          </cell>
          <cell r="D18">
            <v>8</v>
          </cell>
          <cell r="J18">
            <v>1</v>
          </cell>
        </row>
        <row r="19">
          <cell r="A19">
            <v>46142</v>
          </cell>
          <cell r="B19" t="str">
            <v>Keripik Tempe</v>
          </cell>
          <cell r="D19">
            <v>8</v>
          </cell>
          <cell r="J19">
            <v>6</v>
          </cell>
        </row>
        <row r="20">
          <cell r="A20">
            <v>46142</v>
          </cell>
          <cell r="B20" t="str">
            <v>Keripik Singkong</v>
          </cell>
          <cell r="D20">
            <v>8</v>
          </cell>
          <cell r="J20">
            <v>1</v>
          </cell>
        </row>
        <row r="21">
          <cell r="A21">
            <v>46142</v>
          </cell>
          <cell r="B21" t="str">
            <v>Kentang Mustofa Daun Jeruk</v>
          </cell>
          <cell r="D21">
            <v>8</v>
          </cell>
          <cell r="J21">
            <v>1</v>
          </cell>
        </row>
        <row r="22">
          <cell r="A22">
            <v>46142</v>
          </cell>
          <cell r="B22" t="str">
            <v>Komicin</v>
          </cell>
          <cell r="D22">
            <v>8</v>
          </cell>
          <cell r="J22">
            <v>5</v>
          </cell>
        </row>
        <row r="23">
          <cell r="A23">
            <v>46142</v>
          </cell>
          <cell r="B23" t="str">
            <v>DeSnack</v>
          </cell>
          <cell r="D23">
            <v>8</v>
          </cell>
          <cell r="J23">
            <v>4</v>
          </cell>
        </row>
        <row r="24">
          <cell r="A24">
            <v>46142</v>
          </cell>
          <cell r="B24" t="str">
            <v>Macaroni</v>
          </cell>
          <cell r="D24">
            <v>8</v>
          </cell>
          <cell r="J24">
            <v>4</v>
          </cell>
        </row>
        <row r="25">
          <cell r="A25">
            <v>46142</v>
          </cell>
          <cell r="B25" t="str">
            <v>Cimol Kering</v>
          </cell>
          <cell r="D25">
            <v>8</v>
          </cell>
          <cell r="J25">
            <v>2</v>
          </cell>
        </row>
        <row r="26">
          <cell r="A26">
            <v>46142</v>
          </cell>
          <cell r="B26" t="str">
            <v>Popcorn Ori</v>
          </cell>
          <cell r="D26">
            <v>8</v>
          </cell>
          <cell r="J26">
            <v>1</v>
          </cell>
        </row>
        <row r="27">
          <cell r="A27">
            <v>46142</v>
          </cell>
          <cell r="B27" t="str">
            <v>Popcorn Rasa</v>
          </cell>
          <cell r="D27">
            <v>8</v>
          </cell>
          <cell r="J27">
            <v>1</v>
          </cell>
        </row>
        <row r="28">
          <cell r="A28">
            <v>46142</v>
          </cell>
          <cell r="B28" t="str">
            <v>Pop Mie Mini</v>
          </cell>
          <cell r="D28">
            <v>8</v>
          </cell>
          <cell r="J28">
            <v>2</v>
          </cell>
        </row>
        <row r="29">
          <cell r="A29">
            <v>46142</v>
          </cell>
          <cell r="B29" t="str">
            <v>Mie Gemez</v>
          </cell>
          <cell r="D29">
            <v>8</v>
          </cell>
          <cell r="J29">
            <v>9</v>
          </cell>
        </row>
        <row r="30">
          <cell r="A30">
            <v>46142</v>
          </cell>
          <cell r="B30" t="str">
            <v>Cheetos</v>
          </cell>
          <cell r="D30">
            <v>8</v>
          </cell>
          <cell r="J30">
            <v>8</v>
          </cell>
        </row>
        <row r="31">
          <cell r="A31">
            <v>46142</v>
          </cell>
          <cell r="B31" t="str">
            <v>Amplang</v>
          </cell>
          <cell r="D31">
            <v>8</v>
          </cell>
          <cell r="J31">
            <v>0</v>
          </cell>
        </row>
        <row r="32">
          <cell r="A32">
            <v>46142</v>
          </cell>
          <cell r="B32" t="str">
            <v>Pisang Sale</v>
          </cell>
          <cell r="D32">
            <v>8</v>
          </cell>
          <cell r="J32">
            <v>9</v>
          </cell>
        </row>
        <row r="33">
          <cell r="A33">
            <v>46142</v>
          </cell>
          <cell r="B33" t="str">
            <v>Kacang Disco</v>
          </cell>
          <cell r="D33">
            <v>8</v>
          </cell>
          <cell r="J33">
            <v>2</v>
          </cell>
        </row>
        <row r="34">
          <cell r="A34">
            <v>46142</v>
          </cell>
          <cell r="B34" t="str">
            <v>Bawang Goreng</v>
          </cell>
          <cell r="D34">
            <v>9</v>
          </cell>
          <cell r="J34">
            <v>5</v>
          </cell>
        </row>
        <row r="35">
          <cell r="A35">
            <v>46142</v>
          </cell>
          <cell r="B35" t="str">
            <v>Keripik Tempe</v>
          </cell>
          <cell r="D35">
            <v>9</v>
          </cell>
          <cell r="J35">
            <v>5</v>
          </cell>
        </row>
        <row r="36">
          <cell r="A36">
            <v>46142</v>
          </cell>
          <cell r="B36" t="str">
            <v>Keripik Singkong</v>
          </cell>
          <cell r="D36">
            <v>9</v>
          </cell>
          <cell r="J36">
            <v>0</v>
          </cell>
        </row>
        <row r="37">
          <cell r="A37">
            <v>46142</v>
          </cell>
          <cell r="B37" t="str">
            <v>Kentang Mustofa Daun Jeruk</v>
          </cell>
          <cell r="D37">
            <v>9</v>
          </cell>
          <cell r="J37">
            <v>2</v>
          </cell>
        </row>
        <row r="38">
          <cell r="A38">
            <v>46142</v>
          </cell>
          <cell r="B38" t="str">
            <v>Komicin</v>
          </cell>
          <cell r="D38">
            <v>9</v>
          </cell>
          <cell r="J38">
            <v>5</v>
          </cell>
        </row>
        <row r="39">
          <cell r="A39">
            <v>46142</v>
          </cell>
          <cell r="B39" t="str">
            <v>DeSnack</v>
          </cell>
          <cell r="D39">
            <v>9</v>
          </cell>
          <cell r="J39">
            <v>3</v>
          </cell>
        </row>
        <row r="40">
          <cell r="A40">
            <v>46142</v>
          </cell>
          <cell r="B40" t="str">
            <v>Macaroni</v>
          </cell>
          <cell r="D40">
            <v>9</v>
          </cell>
          <cell r="J40">
            <v>2</v>
          </cell>
        </row>
        <row r="41">
          <cell r="A41">
            <v>46142</v>
          </cell>
          <cell r="B41" t="str">
            <v>Cimol Kering</v>
          </cell>
          <cell r="D41">
            <v>9</v>
          </cell>
          <cell r="J41">
            <v>2</v>
          </cell>
        </row>
        <row r="42">
          <cell r="A42">
            <v>46142</v>
          </cell>
          <cell r="B42" t="str">
            <v>Popcorn Ori</v>
          </cell>
          <cell r="D42">
            <v>9</v>
          </cell>
          <cell r="J42">
            <v>2</v>
          </cell>
        </row>
        <row r="43">
          <cell r="A43">
            <v>46142</v>
          </cell>
          <cell r="B43" t="str">
            <v>Popcorn Rasa</v>
          </cell>
          <cell r="D43">
            <v>9</v>
          </cell>
          <cell r="J43">
            <v>0</v>
          </cell>
        </row>
        <row r="44">
          <cell r="A44">
            <v>46142</v>
          </cell>
          <cell r="B44" t="str">
            <v>Pop Mie Mini</v>
          </cell>
          <cell r="D44">
            <v>9</v>
          </cell>
          <cell r="J44">
            <v>1</v>
          </cell>
        </row>
        <row r="45">
          <cell r="A45">
            <v>46142</v>
          </cell>
          <cell r="B45" t="str">
            <v>Mie Gemez</v>
          </cell>
          <cell r="D45">
            <v>9</v>
          </cell>
          <cell r="J45">
            <v>8</v>
          </cell>
        </row>
        <row r="46">
          <cell r="A46">
            <v>46142</v>
          </cell>
          <cell r="B46" t="str">
            <v>Cheetos</v>
          </cell>
          <cell r="D46">
            <v>9</v>
          </cell>
          <cell r="J46">
            <v>1</v>
          </cell>
        </row>
        <row r="47">
          <cell r="A47">
            <v>46142</v>
          </cell>
          <cell r="B47" t="str">
            <v>Amplang</v>
          </cell>
          <cell r="D47">
            <v>9</v>
          </cell>
          <cell r="J47">
            <v>1</v>
          </cell>
        </row>
        <row r="48">
          <cell r="A48">
            <v>46142</v>
          </cell>
          <cell r="B48" t="str">
            <v>Pisang Sale</v>
          </cell>
          <cell r="D48">
            <v>9</v>
          </cell>
          <cell r="J48">
            <v>8</v>
          </cell>
        </row>
        <row r="49">
          <cell r="A49">
            <v>46142</v>
          </cell>
          <cell r="B49" t="str">
            <v>Kacang Disco</v>
          </cell>
          <cell r="D49">
            <v>9</v>
          </cell>
          <cell r="J49">
            <v>1</v>
          </cell>
        </row>
        <row r="50">
          <cell r="A50">
            <v>46146</v>
          </cell>
          <cell r="B50" t="str">
            <v>Bawang Goreng</v>
          </cell>
          <cell r="D50">
            <v>3</v>
          </cell>
          <cell r="J50">
            <v>0</v>
          </cell>
        </row>
        <row r="51">
          <cell r="A51">
            <v>46146</v>
          </cell>
          <cell r="B51" t="str">
            <v>Keripik Tempe</v>
          </cell>
          <cell r="D51">
            <v>3</v>
          </cell>
          <cell r="J51">
            <v>4</v>
          </cell>
        </row>
        <row r="52">
          <cell r="A52">
            <v>46146</v>
          </cell>
          <cell r="B52" t="str">
            <v>Keripik Singkong</v>
          </cell>
          <cell r="D52">
            <v>3</v>
          </cell>
          <cell r="J52">
            <v>0</v>
          </cell>
        </row>
        <row r="53">
          <cell r="A53">
            <v>46146</v>
          </cell>
          <cell r="B53" t="str">
            <v>Kentang Mustofa Daun Jeruk</v>
          </cell>
          <cell r="D53">
            <v>3</v>
          </cell>
          <cell r="J53">
            <v>0</v>
          </cell>
        </row>
        <row r="54">
          <cell r="A54">
            <v>46146</v>
          </cell>
          <cell r="B54" t="str">
            <v>Komicin</v>
          </cell>
          <cell r="D54">
            <v>3</v>
          </cell>
          <cell r="J54">
            <v>2</v>
          </cell>
        </row>
        <row r="55">
          <cell r="A55">
            <v>46146</v>
          </cell>
          <cell r="B55" t="str">
            <v>DeSnack</v>
          </cell>
          <cell r="D55">
            <v>3</v>
          </cell>
          <cell r="J55">
            <v>1</v>
          </cell>
        </row>
        <row r="56">
          <cell r="A56">
            <v>46146</v>
          </cell>
          <cell r="B56" t="str">
            <v>Macaroni</v>
          </cell>
          <cell r="D56">
            <v>3</v>
          </cell>
          <cell r="J56">
            <v>3</v>
          </cell>
        </row>
        <row r="57">
          <cell r="A57">
            <v>46146</v>
          </cell>
          <cell r="B57" t="str">
            <v>Cimol Kering</v>
          </cell>
          <cell r="D57">
            <v>3</v>
          </cell>
          <cell r="J57">
            <v>1</v>
          </cell>
        </row>
        <row r="58">
          <cell r="A58">
            <v>46146</v>
          </cell>
          <cell r="B58" t="str">
            <v>Popcorn Ori</v>
          </cell>
          <cell r="D58">
            <v>3</v>
          </cell>
          <cell r="J58">
            <v>1</v>
          </cell>
        </row>
        <row r="59">
          <cell r="A59">
            <v>46146</v>
          </cell>
          <cell r="B59" t="str">
            <v>Popcorn Rasa</v>
          </cell>
          <cell r="D59">
            <v>3</v>
          </cell>
          <cell r="J59">
            <v>0</v>
          </cell>
        </row>
        <row r="60">
          <cell r="A60">
            <v>46146</v>
          </cell>
          <cell r="B60" t="str">
            <v>Pop Mie Mini</v>
          </cell>
          <cell r="D60">
            <v>3</v>
          </cell>
          <cell r="J60">
            <v>0</v>
          </cell>
        </row>
        <row r="61">
          <cell r="A61">
            <v>46146</v>
          </cell>
          <cell r="B61" t="str">
            <v>Mie Gemez</v>
          </cell>
          <cell r="D61">
            <v>3</v>
          </cell>
          <cell r="J61">
            <v>0</v>
          </cell>
        </row>
        <row r="62">
          <cell r="A62">
            <v>46146</v>
          </cell>
          <cell r="B62" t="str">
            <v>Cheetos</v>
          </cell>
          <cell r="D62">
            <v>3</v>
          </cell>
          <cell r="J62">
            <v>1</v>
          </cell>
        </row>
        <row r="63">
          <cell r="A63">
            <v>46146</v>
          </cell>
          <cell r="B63" t="str">
            <v>Amplang</v>
          </cell>
          <cell r="D63">
            <v>3</v>
          </cell>
          <cell r="J63">
            <v>2</v>
          </cell>
        </row>
        <row r="64">
          <cell r="A64">
            <v>46146</v>
          </cell>
          <cell r="B64" t="str">
            <v>Pisang Sale</v>
          </cell>
          <cell r="D64">
            <v>3</v>
          </cell>
          <cell r="J64">
            <v>6</v>
          </cell>
        </row>
        <row r="65">
          <cell r="A65">
            <v>46146</v>
          </cell>
          <cell r="B65" t="str">
            <v>Kacang Disco</v>
          </cell>
          <cell r="D65">
            <v>3</v>
          </cell>
          <cell r="J65">
            <v>1</v>
          </cell>
        </row>
        <row r="66">
          <cell r="A66">
            <v>46146</v>
          </cell>
          <cell r="B66" t="str">
            <v>Bawang Goreng</v>
          </cell>
          <cell r="D66">
            <v>8</v>
          </cell>
          <cell r="J66">
            <v>0</v>
          </cell>
        </row>
        <row r="67">
          <cell r="A67">
            <v>46146</v>
          </cell>
          <cell r="B67" t="str">
            <v>Keripik Tempe</v>
          </cell>
          <cell r="D67">
            <v>8</v>
          </cell>
          <cell r="J67">
            <v>0</v>
          </cell>
        </row>
        <row r="68">
          <cell r="A68">
            <v>46146</v>
          </cell>
          <cell r="B68" t="str">
            <v>Keripik Singkong</v>
          </cell>
          <cell r="D68">
            <v>8</v>
          </cell>
          <cell r="J68">
            <v>0</v>
          </cell>
        </row>
        <row r="69">
          <cell r="A69">
            <v>46146</v>
          </cell>
          <cell r="B69" t="str">
            <v>Kentang Mustofa Daun Jeruk</v>
          </cell>
          <cell r="D69">
            <v>8</v>
          </cell>
          <cell r="J69">
            <v>0</v>
          </cell>
        </row>
        <row r="70">
          <cell r="A70">
            <v>46146</v>
          </cell>
          <cell r="B70" t="str">
            <v>Komicin</v>
          </cell>
          <cell r="D70">
            <v>8</v>
          </cell>
          <cell r="J70">
            <v>0</v>
          </cell>
        </row>
        <row r="71">
          <cell r="A71">
            <v>46146</v>
          </cell>
          <cell r="B71" t="str">
            <v>DeSnack</v>
          </cell>
          <cell r="D71">
            <v>8</v>
          </cell>
          <cell r="J71">
            <v>3</v>
          </cell>
        </row>
        <row r="72">
          <cell r="A72">
            <v>46146</v>
          </cell>
          <cell r="B72" t="str">
            <v>Macaroni</v>
          </cell>
          <cell r="D72">
            <v>8</v>
          </cell>
          <cell r="J72">
            <v>4</v>
          </cell>
        </row>
        <row r="73">
          <cell r="A73">
            <v>46146</v>
          </cell>
          <cell r="B73" t="str">
            <v>Cimol Kering</v>
          </cell>
          <cell r="D73">
            <v>8</v>
          </cell>
          <cell r="J73">
            <v>0</v>
          </cell>
        </row>
        <row r="74">
          <cell r="A74">
            <v>46146</v>
          </cell>
          <cell r="B74" t="str">
            <v>Popcorn Ori</v>
          </cell>
          <cell r="D74">
            <v>8</v>
          </cell>
          <cell r="J74">
            <v>0</v>
          </cell>
        </row>
        <row r="75">
          <cell r="A75">
            <v>46146</v>
          </cell>
          <cell r="B75" t="str">
            <v>Popcorn Rasa</v>
          </cell>
          <cell r="D75">
            <v>8</v>
          </cell>
          <cell r="J75">
            <v>0</v>
          </cell>
        </row>
        <row r="76">
          <cell r="A76">
            <v>46146</v>
          </cell>
          <cell r="B76" t="str">
            <v>Pop Mie Mini</v>
          </cell>
          <cell r="D76">
            <v>8</v>
          </cell>
          <cell r="J76">
            <v>4</v>
          </cell>
        </row>
        <row r="77">
          <cell r="A77">
            <v>46146</v>
          </cell>
          <cell r="B77" t="str">
            <v>Mie Gemez</v>
          </cell>
          <cell r="D77">
            <v>8</v>
          </cell>
          <cell r="J77">
            <v>0</v>
          </cell>
        </row>
        <row r="78">
          <cell r="A78">
            <v>46146</v>
          </cell>
          <cell r="B78" t="str">
            <v>Cheetos</v>
          </cell>
          <cell r="D78">
            <v>8</v>
          </cell>
          <cell r="J78">
            <v>4</v>
          </cell>
        </row>
        <row r="79">
          <cell r="A79">
            <v>46146</v>
          </cell>
          <cell r="B79" t="str">
            <v>Amplang</v>
          </cell>
          <cell r="D79">
            <v>8</v>
          </cell>
          <cell r="J79">
            <v>0</v>
          </cell>
        </row>
        <row r="80">
          <cell r="A80">
            <v>46146</v>
          </cell>
          <cell r="B80" t="str">
            <v>Pisang Sale</v>
          </cell>
          <cell r="D80">
            <v>8</v>
          </cell>
          <cell r="J80">
            <v>1</v>
          </cell>
        </row>
        <row r="81">
          <cell r="A81">
            <v>46146</v>
          </cell>
          <cell r="B81" t="str">
            <v>Kacang Disco</v>
          </cell>
          <cell r="D81">
            <v>8</v>
          </cell>
          <cell r="J81">
            <v>0</v>
          </cell>
        </row>
        <row r="82">
          <cell r="A82">
            <v>46146</v>
          </cell>
          <cell r="B82" t="str">
            <v>Bawang Goreng</v>
          </cell>
          <cell r="D82">
            <v>9</v>
          </cell>
          <cell r="J82">
            <v>0</v>
          </cell>
        </row>
        <row r="83">
          <cell r="A83">
            <v>46146</v>
          </cell>
          <cell r="B83" t="str">
            <v>Keripik Tempe</v>
          </cell>
          <cell r="D83">
            <v>9</v>
          </cell>
          <cell r="J83">
            <v>6</v>
          </cell>
        </row>
        <row r="84">
          <cell r="A84">
            <v>46146</v>
          </cell>
          <cell r="B84" t="str">
            <v>Keripik Singkong</v>
          </cell>
          <cell r="D84">
            <v>9</v>
          </cell>
          <cell r="J84">
            <v>0</v>
          </cell>
        </row>
        <row r="85">
          <cell r="A85">
            <v>46146</v>
          </cell>
          <cell r="B85" t="str">
            <v>Kentang Mustofa Daun Jeruk</v>
          </cell>
          <cell r="D85">
            <v>9</v>
          </cell>
          <cell r="J85">
            <v>0</v>
          </cell>
        </row>
        <row r="86">
          <cell r="A86">
            <v>46146</v>
          </cell>
          <cell r="B86" t="str">
            <v>Komicin</v>
          </cell>
          <cell r="D86">
            <v>9</v>
          </cell>
          <cell r="J86">
            <v>0</v>
          </cell>
        </row>
        <row r="87">
          <cell r="A87">
            <v>46146</v>
          </cell>
          <cell r="B87" t="str">
            <v>DeSnack</v>
          </cell>
          <cell r="D87">
            <v>9</v>
          </cell>
          <cell r="J87">
            <v>2</v>
          </cell>
        </row>
        <row r="88">
          <cell r="A88">
            <v>46146</v>
          </cell>
          <cell r="B88" t="str">
            <v>Macaroni</v>
          </cell>
          <cell r="D88">
            <v>9</v>
          </cell>
          <cell r="J88">
            <v>5</v>
          </cell>
        </row>
        <row r="89">
          <cell r="A89">
            <v>46146</v>
          </cell>
          <cell r="B89" t="str">
            <v>Cimol Kering</v>
          </cell>
          <cell r="D89">
            <v>9</v>
          </cell>
          <cell r="J89">
            <v>2</v>
          </cell>
        </row>
        <row r="90">
          <cell r="A90">
            <v>46146</v>
          </cell>
          <cell r="B90" t="str">
            <v>Popcorn Ori</v>
          </cell>
          <cell r="D90">
            <v>9</v>
          </cell>
          <cell r="J90">
            <v>0</v>
          </cell>
        </row>
        <row r="91">
          <cell r="A91">
            <v>46146</v>
          </cell>
          <cell r="B91" t="str">
            <v>Popcorn Rasa</v>
          </cell>
          <cell r="D91">
            <v>9</v>
          </cell>
          <cell r="J91">
            <v>0</v>
          </cell>
        </row>
        <row r="92">
          <cell r="A92">
            <v>46146</v>
          </cell>
          <cell r="B92" t="str">
            <v>Pop Mie Mini</v>
          </cell>
          <cell r="D92">
            <v>9</v>
          </cell>
          <cell r="J92">
            <v>3</v>
          </cell>
        </row>
        <row r="93">
          <cell r="A93">
            <v>46146</v>
          </cell>
          <cell r="B93" t="str">
            <v>Mie Gemez</v>
          </cell>
          <cell r="D93">
            <v>9</v>
          </cell>
          <cell r="J93">
            <v>6</v>
          </cell>
        </row>
        <row r="94">
          <cell r="A94">
            <v>46146</v>
          </cell>
          <cell r="B94" t="str">
            <v>Cheetos</v>
          </cell>
          <cell r="D94">
            <v>9</v>
          </cell>
          <cell r="J94">
            <v>2</v>
          </cell>
        </row>
        <row r="95">
          <cell r="A95">
            <v>46146</v>
          </cell>
          <cell r="B95" t="str">
            <v>Amplang</v>
          </cell>
          <cell r="D95">
            <v>9</v>
          </cell>
          <cell r="J95">
            <v>3</v>
          </cell>
        </row>
        <row r="96">
          <cell r="A96">
            <v>46146</v>
          </cell>
          <cell r="B96" t="str">
            <v>Pisang Sale</v>
          </cell>
          <cell r="D96">
            <v>9</v>
          </cell>
          <cell r="J96">
            <v>2</v>
          </cell>
        </row>
        <row r="97">
          <cell r="A97">
            <v>46146</v>
          </cell>
          <cell r="B97" t="str">
            <v>Kacang Disco</v>
          </cell>
          <cell r="D97">
            <v>9</v>
          </cell>
          <cell r="J97">
            <v>1</v>
          </cell>
        </row>
        <row r="98">
          <cell r="A98">
            <v>46147</v>
          </cell>
          <cell r="B98" t="str">
            <v>Bawang Goreng</v>
          </cell>
          <cell r="D98">
            <v>3</v>
          </cell>
          <cell r="J98">
            <v>0</v>
          </cell>
        </row>
        <row r="99">
          <cell r="A99">
            <v>46147</v>
          </cell>
          <cell r="B99" t="str">
            <v>Keripik Tempe</v>
          </cell>
          <cell r="D99">
            <v>3</v>
          </cell>
          <cell r="J99">
            <v>3</v>
          </cell>
        </row>
        <row r="100">
          <cell r="A100">
            <v>46147</v>
          </cell>
          <cell r="B100" t="str">
            <v>Keripik Singkong</v>
          </cell>
          <cell r="D100">
            <v>3</v>
          </cell>
          <cell r="J100">
            <v>0</v>
          </cell>
        </row>
        <row r="101">
          <cell r="A101">
            <v>46147</v>
          </cell>
          <cell r="B101" t="str">
            <v>Kentang Mustofa Daun Jeruk</v>
          </cell>
          <cell r="D101">
            <v>3</v>
          </cell>
          <cell r="J101">
            <v>0</v>
          </cell>
        </row>
        <row r="102">
          <cell r="A102">
            <v>46147</v>
          </cell>
          <cell r="B102" t="str">
            <v>Komicin</v>
          </cell>
          <cell r="D102">
            <v>3</v>
          </cell>
          <cell r="J102">
            <v>0</v>
          </cell>
        </row>
        <row r="103">
          <cell r="A103">
            <v>46147</v>
          </cell>
          <cell r="B103" t="str">
            <v>DeSnack</v>
          </cell>
          <cell r="D103">
            <v>3</v>
          </cell>
          <cell r="J103">
            <v>2</v>
          </cell>
        </row>
        <row r="104">
          <cell r="A104">
            <v>46147</v>
          </cell>
          <cell r="B104" t="str">
            <v>Macaroni</v>
          </cell>
          <cell r="D104">
            <v>3</v>
          </cell>
          <cell r="J104">
            <v>2</v>
          </cell>
        </row>
        <row r="105">
          <cell r="A105">
            <v>46147</v>
          </cell>
          <cell r="B105" t="str">
            <v>Cimol Kering</v>
          </cell>
          <cell r="D105">
            <v>3</v>
          </cell>
          <cell r="J105">
            <v>0</v>
          </cell>
        </row>
        <row r="106">
          <cell r="A106">
            <v>46147</v>
          </cell>
          <cell r="B106" t="str">
            <v>Popcorn Ori</v>
          </cell>
          <cell r="D106">
            <v>3</v>
          </cell>
          <cell r="J106">
            <v>0</v>
          </cell>
        </row>
        <row r="107">
          <cell r="A107">
            <v>46147</v>
          </cell>
          <cell r="B107" t="str">
            <v>Popcorn Rasa</v>
          </cell>
          <cell r="D107">
            <v>3</v>
          </cell>
          <cell r="J107">
            <v>1</v>
          </cell>
        </row>
        <row r="108">
          <cell r="A108">
            <v>46147</v>
          </cell>
          <cell r="B108" t="str">
            <v>Pop Mie Mini</v>
          </cell>
          <cell r="D108">
            <v>3</v>
          </cell>
          <cell r="J108">
            <v>0</v>
          </cell>
        </row>
        <row r="109">
          <cell r="A109">
            <v>46147</v>
          </cell>
          <cell r="B109" t="str">
            <v>Mie Gemez</v>
          </cell>
          <cell r="D109">
            <v>3</v>
          </cell>
          <cell r="J109">
            <v>0</v>
          </cell>
        </row>
        <row r="110">
          <cell r="A110">
            <v>46147</v>
          </cell>
          <cell r="B110" t="str">
            <v>Cheetos</v>
          </cell>
          <cell r="D110">
            <v>3</v>
          </cell>
          <cell r="J110">
            <v>7</v>
          </cell>
        </row>
        <row r="111">
          <cell r="A111">
            <v>46147</v>
          </cell>
          <cell r="B111" t="str">
            <v>Amplang</v>
          </cell>
          <cell r="D111">
            <v>3</v>
          </cell>
          <cell r="J111">
            <v>0</v>
          </cell>
        </row>
        <row r="112">
          <cell r="A112">
            <v>46147</v>
          </cell>
          <cell r="B112" t="str">
            <v>Pisang Sale</v>
          </cell>
          <cell r="D112">
            <v>3</v>
          </cell>
          <cell r="J112">
            <v>0</v>
          </cell>
        </row>
        <row r="113">
          <cell r="A113">
            <v>46147</v>
          </cell>
          <cell r="B113" t="str">
            <v>Kacang Disco</v>
          </cell>
          <cell r="D113">
            <v>3</v>
          </cell>
          <cell r="J113">
            <v>0</v>
          </cell>
        </row>
        <row r="114">
          <cell r="A114">
            <v>46147</v>
          </cell>
          <cell r="B114" t="str">
            <v>Bawang Goreng</v>
          </cell>
          <cell r="D114">
            <v>8</v>
          </cell>
          <cell r="J114">
            <v>0</v>
          </cell>
        </row>
        <row r="115">
          <cell r="A115">
            <v>46147</v>
          </cell>
          <cell r="B115" t="str">
            <v>Keripik Tempe</v>
          </cell>
          <cell r="D115">
            <v>8</v>
          </cell>
          <cell r="J115">
            <v>1</v>
          </cell>
        </row>
        <row r="116">
          <cell r="A116">
            <v>46147</v>
          </cell>
          <cell r="B116" t="str">
            <v>Keripik Singkong</v>
          </cell>
          <cell r="D116">
            <v>8</v>
          </cell>
          <cell r="J116">
            <v>0</v>
          </cell>
        </row>
        <row r="117">
          <cell r="A117">
            <v>46147</v>
          </cell>
          <cell r="B117" t="str">
            <v>Kentang Mustofa Daun Jeruk</v>
          </cell>
          <cell r="D117">
            <v>8</v>
          </cell>
          <cell r="J117">
            <v>0</v>
          </cell>
        </row>
        <row r="118">
          <cell r="A118">
            <v>46147</v>
          </cell>
          <cell r="B118" t="str">
            <v>Komicin</v>
          </cell>
          <cell r="D118">
            <v>8</v>
          </cell>
          <cell r="J118">
            <v>0</v>
          </cell>
        </row>
        <row r="119">
          <cell r="A119">
            <v>46147</v>
          </cell>
          <cell r="B119" t="str">
            <v>DeSnack</v>
          </cell>
          <cell r="D119">
            <v>8</v>
          </cell>
          <cell r="J119">
            <v>-3</v>
          </cell>
        </row>
        <row r="120">
          <cell r="A120">
            <v>46147</v>
          </cell>
          <cell r="B120" t="str">
            <v>Macaroni</v>
          </cell>
          <cell r="D120">
            <v>8</v>
          </cell>
          <cell r="J120">
            <v>1</v>
          </cell>
        </row>
        <row r="121">
          <cell r="A121">
            <v>46147</v>
          </cell>
          <cell r="B121" t="str">
            <v>Cimol Kering</v>
          </cell>
          <cell r="D121">
            <v>8</v>
          </cell>
          <cell r="J121">
            <v>1</v>
          </cell>
        </row>
        <row r="122">
          <cell r="A122">
            <v>46147</v>
          </cell>
          <cell r="B122" t="str">
            <v>Popcorn Ori</v>
          </cell>
          <cell r="D122">
            <v>8</v>
          </cell>
          <cell r="J122">
            <v>0</v>
          </cell>
        </row>
        <row r="123">
          <cell r="A123">
            <v>46147</v>
          </cell>
          <cell r="B123" t="str">
            <v>Popcorn Rasa</v>
          </cell>
          <cell r="D123">
            <v>8</v>
          </cell>
          <cell r="J123">
            <v>0</v>
          </cell>
        </row>
        <row r="124">
          <cell r="A124">
            <v>46147</v>
          </cell>
          <cell r="B124" t="str">
            <v>Pop Mie Mini</v>
          </cell>
          <cell r="D124">
            <v>8</v>
          </cell>
          <cell r="J124">
            <v>0</v>
          </cell>
        </row>
        <row r="125">
          <cell r="A125">
            <v>46147</v>
          </cell>
          <cell r="B125" t="str">
            <v>Mie Gemez</v>
          </cell>
          <cell r="D125">
            <v>8</v>
          </cell>
          <cell r="J125">
            <v>2</v>
          </cell>
        </row>
        <row r="126">
          <cell r="A126">
            <v>46147</v>
          </cell>
          <cell r="B126" t="str">
            <v>Cheetos</v>
          </cell>
          <cell r="D126">
            <v>8</v>
          </cell>
          <cell r="J126">
            <v>4</v>
          </cell>
        </row>
        <row r="127">
          <cell r="A127">
            <v>46147</v>
          </cell>
          <cell r="B127" t="str">
            <v>Amplang</v>
          </cell>
          <cell r="D127">
            <v>8</v>
          </cell>
          <cell r="J127">
            <v>0</v>
          </cell>
        </row>
        <row r="128">
          <cell r="A128">
            <v>46147</v>
          </cell>
          <cell r="B128" t="str">
            <v>Pisang Sale</v>
          </cell>
          <cell r="D128">
            <v>8</v>
          </cell>
          <cell r="J128">
            <v>0</v>
          </cell>
        </row>
        <row r="129">
          <cell r="A129">
            <v>46147</v>
          </cell>
          <cell r="B129" t="str">
            <v>Kacang Disco</v>
          </cell>
          <cell r="D129">
            <v>8</v>
          </cell>
          <cell r="J129">
            <v>0</v>
          </cell>
        </row>
        <row r="130">
          <cell r="A130">
            <v>46147</v>
          </cell>
          <cell r="B130" t="str">
            <v>Bawang Goreng</v>
          </cell>
          <cell r="D130">
            <v>9</v>
          </cell>
          <cell r="J130">
            <v>0</v>
          </cell>
        </row>
        <row r="131">
          <cell r="A131">
            <v>46147</v>
          </cell>
          <cell r="B131" t="str">
            <v>Keripik Tempe</v>
          </cell>
          <cell r="D131">
            <v>9</v>
          </cell>
          <cell r="J131">
            <v>3</v>
          </cell>
        </row>
        <row r="132">
          <cell r="A132">
            <v>46147</v>
          </cell>
          <cell r="B132" t="str">
            <v>Keripik Singkong</v>
          </cell>
          <cell r="D132">
            <v>9</v>
          </cell>
          <cell r="J132">
            <v>0</v>
          </cell>
        </row>
        <row r="133">
          <cell r="A133">
            <v>46147</v>
          </cell>
          <cell r="B133" t="str">
            <v>Kentang Mustofa Daun Jeruk</v>
          </cell>
          <cell r="D133">
            <v>9</v>
          </cell>
          <cell r="J133">
            <v>1</v>
          </cell>
        </row>
        <row r="134">
          <cell r="A134">
            <v>46147</v>
          </cell>
          <cell r="B134" t="str">
            <v>Komicin</v>
          </cell>
          <cell r="D134">
            <v>9</v>
          </cell>
          <cell r="J134">
            <v>0</v>
          </cell>
        </row>
        <row r="135">
          <cell r="A135">
            <v>46147</v>
          </cell>
          <cell r="B135" t="str">
            <v>DeSnack</v>
          </cell>
          <cell r="D135">
            <v>9</v>
          </cell>
          <cell r="J135">
            <v>2</v>
          </cell>
        </row>
        <row r="136">
          <cell r="A136">
            <v>46147</v>
          </cell>
          <cell r="B136" t="str">
            <v>Macaroni</v>
          </cell>
          <cell r="D136">
            <v>9</v>
          </cell>
          <cell r="J136">
            <v>0</v>
          </cell>
        </row>
        <row r="137">
          <cell r="A137">
            <v>46147</v>
          </cell>
          <cell r="B137" t="str">
            <v>Cimol Kering</v>
          </cell>
          <cell r="D137">
            <v>9</v>
          </cell>
          <cell r="J137">
            <v>0</v>
          </cell>
        </row>
        <row r="138">
          <cell r="A138">
            <v>46147</v>
          </cell>
          <cell r="B138" t="str">
            <v>Popcorn Ori</v>
          </cell>
          <cell r="D138">
            <v>9</v>
          </cell>
          <cell r="J138">
            <v>0</v>
          </cell>
        </row>
        <row r="139">
          <cell r="A139">
            <v>46147</v>
          </cell>
          <cell r="B139" t="str">
            <v>Popcorn Rasa</v>
          </cell>
          <cell r="D139">
            <v>9</v>
          </cell>
          <cell r="J139">
            <v>3</v>
          </cell>
        </row>
        <row r="140">
          <cell r="A140">
            <v>46147</v>
          </cell>
          <cell r="B140" t="str">
            <v>Pop Mie Mini</v>
          </cell>
          <cell r="D140">
            <v>9</v>
          </cell>
          <cell r="J140">
            <v>0</v>
          </cell>
        </row>
        <row r="141">
          <cell r="A141">
            <v>46147</v>
          </cell>
          <cell r="B141" t="str">
            <v>Mie Gemez</v>
          </cell>
          <cell r="D141">
            <v>9</v>
          </cell>
          <cell r="J141">
            <v>10</v>
          </cell>
        </row>
        <row r="142">
          <cell r="A142">
            <v>46147</v>
          </cell>
          <cell r="B142" t="str">
            <v>Cheetos</v>
          </cell>
          <cell r="D142">
            <v>9</v>
          </cell>
          <cell r="J142">
            <v>3</v>
          </cell>
        </row>
        <row r="143">
          <cell r="A143">
            <v>46147</v>
          </cell>
          <cell r="B143" t="str">
            <v>Amplang</v>
          </cell>
          <cell r="D143">
            <v>9</v>
          </cell>
          <cell r="J143">
            <v>-3</v>
          </cell>
        </row>
        <row r="144">
          <cell r="A144">
            <v>46147</v>
          </cell>
          <cell r="B144" t="str">
            <v>Pisang Sale</v>
          </cell>
          <cell r="D144">
            <v>9</v>
          </cell>
          <cell r="J144">
            <v>0</v>
          </cell>
        </row>
        <row r="145">
          <cell r="A145">
            <v>46147</v>
          </cell>
          <cell r="B145" t="str">
            <v>Kacang Disco</v>
          </cell>
          <cell r="D145">
            <v>9</v>
          </cell>
          <cell r="J145">
            <v>0</v>
          </cell>
        </row>
        <row r="146">
          <cell r="A146">
            <v>46148</v>
          </cell>
          <cell r="B146" t="str">
            <v>Bawang Goreng</v>
          </cell>
          <cell r="D146">
            <v>3</v>
          </cell>
          <cell r="J146">
            <v>0</v>
          </cell>
        </row>
        <row r="147">
          <cell r="A147">
            <v>46148</v>
          </cell>
          <cell r="B147" t="str">
            <v>Keripik Tempe</v>
          </cell>
          <cell r="D147">
            <v>3</v>
          </cell>
          <cell r="J147">
            <v>5</v>
          </cell>
        </row>
        <row r="148">
          <cell r="A148">
            <v>46148</v>
          </cell>
          <cell r="B148" t="str">
            <v>Keripik Singkong</v>
          </cell>
          <cell r="D148">
            <v>3</v>
          </cell>
          <cell r="J148">
            <v>0</v>
          </cell>
        </row>
        <row r="149">
          <cell r="A149">
            <v>46148</v>
          </cell>
          <cell r="B149" t="str">
            <v>Kentang Mustofa Daun Jeruk</v>
          </cell>
          <cell r="D149">
            <v>3</v>
          </cell>
          <cell r="J149">
            <v>0</v>
          </cell>
        </row>
        <row r="150">
          <cell r="A150">
            <v>46148</v>
          </cell>
          <cell r="B150" t="str">
            <v>Komicin</v>
          </cell>
          <cell r="D150">
            <v>3</v>
          </cell>
          <cell r="J150">
            <v>0</v>
          </cell>
        </row>
        <row r="151">
          <cell r="A151">
            <v>46148</v>
          </cell>
          <cell r="B151" t="str">
            <v>DeSnack</v>
          </cell>
          <cell r="D151">
            <v>3</v>
          </cell>
          <cell r="J151">
            <v>2</v>
          </cell>
        </row>
        <row r="152">
          <cell r="A152">
            <v>46148</v>
          </cell>
          <cell r="B152" t="str">
            <v>Macaroni</v>
          </cell>
          <cell r="D152">
            <v>3</v>
          </cell>
          <cell r="J152">
            <v>3</v>
          </cell>
        </row>
        <row r="153">
          <cell r="A153">
            <v>46148</v>
          </cell>
          <cell r="B153" t="str">
            <v>Cimol Kering</v>
          </cell>
          <cell r="D153">
            <v>3</v>
          </cell>
          <cell r="J153">
            <v>1</v>
          </cell>
        </row>
        <row r="154">
          <cell r="A154">
            <v>46148</v>
          </cell>
          <cell r="B154" t="str">
            <v>Popcorn Ori</v>
          </cell>
          <cell r="D154">
            <v>3</v>
          </cell>
          <cell r="J154">
            <v>2</v>
          </cell>
        </row>
        <row r="155">
          <cell r="A155">
            <v>46148</v>
          </cell>
          <cell r="B155" t="str">
            <v>Popcorn Rasa</v>
          </cell>
          <cell r="D155">
            <v>3</v>
          </cell>
          <cell r="J155">
            <v>2</v>
          </cell>
        </row>
        <row r="156">
          <cell r="A156">
            <v>46148</v>
          </cell>
          <cell r="B156" t="str">
            <v>Pop Mie Mini</v>
          </cell>
          <cell r="D156">
            <v>3</v>
          </cell>
          <cell r="J156">
            <v>0</v>
          </cell>
        </row>
        <row r="157">
          <cell r="A157">
            <v>46148</v>
          </cell>
          <cell r="B157" t="str">
            <v>Mie Gemez</v>
          </cell>
          <cell r="D157">
            <v>3</v>
          </cell>
          <cell r="J157">
            <v>4</v>
          </cell>
        </row>
        <row r="158">
          <cell r="A158">
            <v>46148</v>
          </cell>
          <cell r="B158" t="str">
            <v>Cheetos</v>
          </cell>
          <cell r="D158">
            <v>3</v>
          </cell>
          <cell r="J158">
            <v>2</v>
          </cell>
        </row>
        <row r="159">
          <cell r="A159">
            <v>46148</v>
          </cell>
          <cell r="B159" t="str">
            <v>Amplang</v>
          </cell>
          <cell r="D159">
            <v>3</v>
          </cell>
          <cell r="J159">
            <v>13</v>
          </cell>
        </row>
        <row r="160">
          <cell r="A160">
            <v>46148</v>
          </cell>
          <cell r="B160" t="str">
            <v>Pisang Sale</v>
          </cell>
          <cell r="D160">
            <v>3</v>
          </cell>
          <cell r="J160">
            <v>2</v>
          </cell>
        </row>
        <row r="161">
          <cell r="A161">
            <v>46148</v>
          </cell>
          <cell r="B161" t="str">
            <v>Kacang Disco</v>
          </cell>
          <cell r="D161">
            <v>3</v>
          </cell>
          <cell r="J161">
            <v>0</v>
          </cell>
        </row>
        <row r="162">
          <cell r="A162">
            <v>46148</v>
          </cell>
          <cell r="B162" t="str">
            <v>Sari gandum</v>
          </cell>
          <cell r="D162">
            <v>3</v>
          </cell>
          <cell r="J162">
            <v>4</v>
          </cell>
        </row>
        <row r="163">
          <cell r="A163">
            <v>46148</v>
          </cell>
          <cell r="B163" t="str">
            <v>Yogurt</v>
          </cell>
          <cell r="D163">
            <v>3</v>
          </cell>
          <cell r="J163">
            <v>5</v>
          </cell>
        </row>
        <row r="164">
          <cell r="A164">
            <v>46148</v>
          </cell>
          <cell r="B164" t="str">
            <v>Lemonilo chimi</v>
          </cell>
          <cell r="D164">
            <v>3</v>
          </cell>
          <cell r="J164">
            <v>0</v>
          </cell>
        </row>
        <row r="165">
          <cell r="A165">
            <v>46148</v>
          </cell>
          <cell r="B165" t="str">
            <v>Bawang Goreng</v>
          </cell>
          <cell r="D165">
            <v>8</v>
          </cell>
          <cell r="J165">
            <v>0</v>
          </cell>
        </row>
        <row r="166">
          <cell r="A166">
            <v>46148</v>
          </cell>
          <cell r="B166" t="str">
            <v>Keripik Tempe</v>
          </cell>
          <cell r="D166">
            <v>8</v>
          </cell>
          <cell r="J166">
            <v>5</v>
          </cell>
        </row>
        <row r="167">
          <cell r="A167">
            <v>46148</v>
          </cell>
          <cell r="B167" t="str">
            <v>Keripik Singkong</v>
          </cell>
          <cell r="D167">
            <v>8</v>
          </cell>
          <cell r="J167">
            <v>0</v>
          </cell>
        </row>
        <row r="168">
          <cell r="A168">
            <v>46148</v>
          </cell>
          <cell r="B168" t="str">
            <v>Kentang Mustofa Daun Jeruk</v>
          </cell>
          <cell r="D168">
            <v>8</v>
          </cell>
          <cell r="J168">
            <v>0</v>
          </cell>
        </row>
        <row r="169">
          <cell r="A169">
            <v>46148</v>
          </cell>
          <cell r="B169" t="str">
            <v>Komicin</v>
          </cell>
          <cell r="D169">
            <v>8</v>
          </cell>
          <cell r="J169">
            <v>0</v>
          </cell>
        </row>
        <row r="170">
          <cell r="A170">
            <v>46148</v>
          </cell>
          <cell r="B170" t="str">
            <v>DeSnack</v>
          </cell>
          <cell r="D170">
            <v>8</v>
          </cell>
          <cell r="J170">
            <v>2</v>
          </cell>
        </row>
        <row r="171">
          <cell r="A171">
            <v>46148</v>
          </cell>
          <cell r="B171" t="str">
            <v>Macaroni</v>
          </cell>
          <cell r="D171">
            <v>8</v>
          </cell>
          <cell r="J171">
            <v>0</v>
          </cell>
        </row>
        <row r="172">
          <cell r="A172">
            <v>46148</v>
          </cell>
          <cell r="B172" t="str">
            <v>Cimol Kering</v>
          </cell>
          <cell r="D172">
            <v>8</v>
          </cell>
          <cell r="J172">
            <v>1</v>
          </cell>
        </row>
        <row r="173">
          <cell r="A173">
            <v>46148</v>
          </cell>
          <cell r="B173" t="str">
            <v>Popcorn Ori</v>
          </cell>
          <cell r="D173">
            <v>8</v>
          </cell>
          <cell r="J173">
            <v>1</v>
          </cell>
        </row>
        <row r="174">
          <cell r="A174">
            <v>46148</v>
          </cell>
          <cell r="B174" t="str">
            <v>Popcorn Rasa</v>
          </cell>
          <cell r="D174">
            <v>8</v>
          </cell>
          <cell r="J174">
            <v>3</v>
          </cell>
        </row>
        <row r="175">
          <cell r="A175">
            <v>46148</v>
          </cell>
          <cell r="B175" t="str">
            <v>Pop Mie Mini</v>
          </cell>
          <cell r="D175">
            <v>8</v>
          </cell>
          <cell r="J175">
            <v>6</v>
          </cell>
        </row>
        <row r="176">
          <cell r="A176">
            <v>46148</v>
          </cell>
          <cell r="B176" t="str">
            <v>Mie Gemez</v>
          </cell>
          <cell r="D176">
            <v>8</v>
          </cell>
          <cell r="J176">
            <v>7</v>
          </cell>
        </row>
        <row r="177">
          <cell r="A177">
            <v>46148</v>
          </cell>
          <cell r="B177" t="str">
            <v>Cheetos</v>
          </cell>
          <cell r="D177">
            <v>8</v>
          </cell>
          <cell r="J177">
            <v>-2</v>
          </cell>
        </row>
        <row r="178">
          <cell r="A178">
            <v>46148</v>
          </cell>
          <cell r="B178" t="str">
            <v>Amplang</v>
          </cell>
          <cell r="D178">
            <v>8</v>
          </cell>
          <cell r="J178">
            <v>4</v>
          </cell>
        </row>
        <row r="179">
          <cell r="A179">
            <v>46148</v>
          </cell>
          <cell r="B179" t="str">
            <v>Pisang Sale</v>
          </cell>
          <cell r="D179">
            <v>8</v>
          </cell>
          <cell r="J179">
            <v>0</v>
          </cell>
        </row>
        <row r="180">
          <cell r="A180">
            <v>46148</v>
          </cell>
          <cell r="B180" t="str">
            <v>Kacang Disco</v>
          </cell>
          <cell r="D180">
            <v>8</v>
          </cell>
          <cell r="J180">
            <v>0</v>
          </cell>
        </row>
        <row r="181">
          <cell r="A181">
            <v>46148</v>
          </cell>
          <cell r="B181" t="str">
            <v>Sari gandum</v>
          </cell>
          <cell r="D181">
            <v>8</v>
          </cell>
          <cell r="J181">
            <v>1</v>
          </cell>
        </row>
        <row r="182">
          <cell r="A182">
            <v>46148</v>
          </cell>
          <cell r="B182" t="str">
            <v>Yogurt</v>
          </cell>
          <cell r="D182">
            <v>8</v>
          </cell>
          <cell r="J182">
            <v>5</v>
          </cell>
        </row>
        <row r="183">
          <cell r="A183">
            <v>46148</v>
          </cell>
          <cell r="B183" t="str">
            <v>Lemonilo chimi</v>
          </cell>
          <cell r="D183">
            <v>8</v>
          </cell>
          <cell r="J183">
            <v>0</v>
          </cell>
        </row>
        <row r="184">
          <cell r="A184">
            <v>46148</v>
          </cell>
          <cell r="B184" t="str">
            <v>Bawang Goreng</v>
          </cell>
          <cell r="D184">
            <v>9</v>
          </cell>
          <cell r="J184">
            <v>0</v>
          </cell>
        </row>
        <row r="185">
          <cell r="A185">
            <v>46148</v>
          </cell>
          <cell r="B185" t="str">
            <v>Keripik Tempe</v>
          </cell>
          <cell r="D185">
            <v>9</v>
          </cell>
          <cell r="J185">
            <v>5</v>
          </cell>
        </row>
        <row r="186">
          <cell r="A186">
            <v>46148</v>
          </cell>
          <cell r="B186" t="str">
            <v>Keripik Singkong</v>
          </cell>
          <cell r="D186">
            <v>9</v>
          </cell>
          <cell r="J186">
            <v>2</v>
          </cell>
        </row>
        <row r="187">
          <cell r="A187">
            <v>46148</v>
          </cell>
          <cell r="B187" t="str">
            <v>Kentang Mustofa Daun Jeruk</v>
          </cell>
          <cell r="D187">
            <v>9</v>
          </cell>
          <cell r="J187">
            <v>0</v>
          </cell>
        </row>
        <row r="188">
          <cell r="A188">
            <v>46148</v>
          </cell>
          <cell r="B188" t="str">
            <v>Komicin</v>
          </cell>
          <cell r="D188">
            <v>9</v>
          </cell>
          <cell r="J188">
            <v>0</v>
          </cell>
        </row>
        <row r="189">
          <cell r="A189">
            <v>46148</v>
          </cell>
          <cell r="B189" t="str">
            <v>DeSnack</v>
          </cell>
          <cell r="D189">
            <v>9</v>
          </cell>
          <cell r="J189">
            <v>4</v>
          </cell>
        </row>
        <row r="190">
          <cell r="A190">
            <v>46148</v>
          </cell>
          <cell r="B190" t="str">
            <v>Macaroni</v>
          </cell>
          <cell r="D190">
            <v>9</v>
          </cell>
          <cell r="J190">
            <v>1</v>
          </cell>
        </row>
        <row r="191">
          <cell r="A191">
            <v>46148</v>
          </cell>
          <cell r="B191" t="str">
            <v>Cimol Kering</v>
          </cell>
          <cell r="D191">
            <v>9</v>
          </cell>
          <cell r="J191">
            <v>0</v>
          </cell>
        </row>
        <row r="192">
          <cell r="A192">
            <v>46148</v>
          </cell>
          <cell r="B192" t="str">
            <v>Popcorn Ori</v>
          </cell>
          <cell r="D192">
            <v>9</v>
          </cell>
          <cell r="J192">
            <v>1</v>
          </cell>
        </row>
        <row r="193">
          <cell r="A193">
            <v>46148</v>
          </cell>
          <cell r="B193" t="str">
            <v>Popcorn Rasa</v>
          </cell>
          <cell r="D193">
            <v>9</v>
          </cell>
          <cell r="J193">
            <v>0</v>
          </cell>
        </row>
        <row r="194">
          <cell r="A194">
            <v>46148</v>
          </cell>
          <cell r="B194" t="str">
            <v>Pop Mie Mini</v>
          </cell>
          <cell r="D194">
            <v>9</v>
          </cell>
          <cell r="J194">
            <v>8</v>
          </cell>
        </row>
        <row r="195">
          <cell r="A195">
            <v>46148</v>
          </cell>
          <cell r="B195" t="str">
            <v>Mie Gemez</v>
          </cell>
          <cell r="D195">
            <v>9</v>
          </cell>
          <cell r="J195">
            <v>0</v>
          </cell>
        </row>
        <row r="196">
          <cell r="A196">
            <v>46148</v>
          </cell>
          <cell r="B196" t="str">
            <v>Cheetos</v>
          </cell>
          <cell r="D196">
            <v>9</v>
          </cell>
          <cell r="J196">
            <v>6</v>
          </cell>
        </row>
        <row r="197">
          <cell r="A197">
            <v>46148</v>
          </cell>
          <cell r="B197" t="str">
            <v>Amplang</v>
          </cell>
          <cell r="D197">
            <v>9</v>
          </cell>
          <cell r="J197">
            <v>5</v>
          </cell>
        </row>
        <row r="198">
          <cell r="A198">
            <v>46148</v>
          </cell>
          <cell r="B198" t="str">
            <v>Pisang Sale</v>
          </cell>
          <cell r="D198">
            <v>9</v>
          </cell>
          <cell r="J198">
            <v>0</v>
          </cell>
        </row>
        <row r="199">
          <cell r="A199">
            <v>46148</v>
          </cell>
          <cell r="B199" t="str">
            <v>Kacang Disco</v>
          </cell>
          <cell r="D199">
            <v>9</v>
          </cell>
          <cell r="J199">
            <v>3</v>
          </cell>
        </row>
        <row r="200">
          <cell r="A200">
            <v>46148</v>
          </cell>
          <cell r="B200" t="str">
            <v>Sari gandum</v>
          </cell>
          <cell r="D200">
            <v>9</v>
          </cell>
          <cell r="J200">
            <v>3</v>
          </cell>
        </row>
        <row r="201">
          <cell r="A201">
            <v>46148</v>
          </cell>
          <cell r="B201" t="str">
            <v>Yogurt</v>
          </cell>
          <cell r="D201">
            <v>9</v>
          </cell>
          <cell r="J201">
            <v>5</v>
          </cell>
        </row>
        <row r="202">
          <cell r="A202">
            <v>46148</v>
          </cell>
          <cell r="B202" t="str">
            <v>Lemonilo chimi</v>
          </cell>
          <cell r="D202">
            <v>9</v>
          </cell>
          <cell r="J202">
            <v>9</v>
          </cell>
        </row>
        <row r="203">
          <cell r="A203">
            <v>46149</v>
          </cell>
          <cell r="B203" t="str">
            <v>Bawang Goreng</v>
          </cell>
          <cell r="D203">
            <v>3</v>
          </cell>
          <cell r="J203">
            <v>3</v>
          </cell>
        </row>
        <row r="204">
          <cell r="A204">
            <v>46149</v>
          </cell>
          <cell r="B204" t="str">
            <v>Keripik Tempe</v>
          </cell>
          <cell r="D204">
            <v>3</v>
          </cell>
          <cell r="J204">
            <v>0</v>
          </cell>
        </row>
        <row r="205">
          <cell r="A205">
            <v>46149</v>
          </cell>
          <cell r="B205" t="str">
            <v>Keripik Singkong</v>
          </cell>
          <cell r="D205">
            <v>3</v>
          </cell>
          <cell r="J205">
            <v>0</v>
          </cell>
        </row>
        <row r="206">
          <cell r="A206">
            <v>46149</v>
          </cell>
          <cell r="B206" t="str">
            <v>Kentang Mustofa Daun Jeruk</v>
          </cell>
          <cell r="D206">
            <v>3</v>
          </cell>
          <cell r="J206">
            <v>0</v>
          </cell>
        </row>
        <row r="207">
          <cell r="A207">
            <v>46149</v>
          </cell>
          <cell r="B207" t="str">
            <v>Komicin</v>
          </cell>
          <cell r="D207">
            <v>3</v>
          </cell>
          <cell r="J207">
            <v>0</v>
          </cell>
        </row>
        <row r="208">
          <cell r="A208">
            <v>46149</v>
          </cell>
          <cell r="B208" t="str">
            <v>DeSnack</v>
          </cell>
          <cell r="D208">
            <v>3</v>
          </cell>
          <cell r="J208">
            <v>5</v>
          </cell>
        </row>
        <row r="209">
          <cell r="A209">
            <v>46149</v>
          </cell>
          <cell r="B209" t="str">
            <v>Macaroni</v>
          </cell>
          <cell r="D209">
            <v>3</v>
          </cell>
          <cell r="J209">
            <v>0</v>
          </cell>
        </row>
        <row r="210">
          <cell r="A210">
            <v>46149</v>
          </cell>
          <cell r="B210" t="str">
            <v>Cimol Kering</v>
          </cell>
          <cell r="D210">
            <v>3</v>
          </cell>
          <cell r="J210">
            <v>0</v>
          </cell>
        </row>
        <row r="211">
          <cell r="A211">
            <v>46149</v>
          </cell>
          <cell r="B211" t="str">
            <v>Popcorn Ori</v>
          </cell>
          <cell r="D211">
            <v>3</v>
          </cell>
          <cell r="J211">
            <v>0</v>
          </cell>
        </row>
        <row r="212">
          <cell r="A212">
            <v>46149</v>
          </cell>
          <cell r="B212" t="str">
            <v>Popcorn Rasa</v>
          </cell>
          <cell r="D212">
            <v>3</v>
          </cell>
          <cell r="J212">
            <v>1</v>
          </cell>
        </row>
        <row r="213">
          <cell r="A213">
            <v>46149</v>
          </cell>
          <cell r="B213" t="str">
            <v>Pop Mie Mini</v>
          </cell>
          <cell r="D213">
            <v>3</v>
          </cell>
          <cell r="J213">
            <v>0</v>
          </cell>
        </row>
        <row r="214">
          <cell r="A214">
            <v>46149</v>
          </cell>
          <cell r="B214" t="str">
            <v>Mie Gemez</v>
          </cell>
          <cell r="D214">
            <v>3</v>
          </cell>
          <cell r="J214">
            <v>6</v>
          </cell>
        </row>
        <row r="215">
          <cell r="A215">
            <v>46149</v>
          </cell>
          <cell r="B215" t="str">
            <v>Cheetos</v>
          </cell>
          <cell r="D215">
            <v>3</v>
          </cell>
          <cell r="J215">
            <v>0</v>
          </cell>
        </row>
        <row r="216">
          <cell r="A216">
            <v>46149</v>
          </cell>
          <cell r="B216" t="str">
            <v>Amplang</v>
          </cell>
          <cell r="D216">
            <v>3</v>
          </cell>
          <cell r="J216">
            <v>1</v>
          </cell>
        </row>
        <row r="217">
          <cell r="A217">
            <v>46149</v>
          </cell>
          <cell r="B217" t="str">
            <v>Pisang Sale</v>
          </cell>
          <cell r="D217">
            <v>3</v>
          </cell>
          <cell r="J217">
            <v>0</v>
          </cell>
        </row>
        <row r="218">
          <cell r="A218">
            <v>46149</v>
          </cell>
          <cell r="B218" t="str">
            <v>Kacang Disco</v>
          </cell>
          <cell r="D218">
            <v>3</v>
          </cell>
          <cell r="J218">
            <v>0</v>
          </cell>
        </row>
        <row r="219">
          <cell r="A219">
            <v>46149</v>
          </cell>
          <cell r="B219" t="str">
            <v>Sari gandum</v>
          </cell>
          <cell r="D219">
            <v>3</v>
          </cell>
          <cell r="J219">
            <v>1</v>
          </cell>
        </row>
        <row r="220">
          <cell r="A220">
            <v>46149</v>
          </cell>
          <cell r="B220" t="str">
            <v>Yogurt</v>
          </cell>
          <cell r="D220">
            <v>3</v>
          </cell>
          <cell r="J220">
            <v>0</v>
          </cell>
        </row>
        <row r="221">
          <cell r="A221">
            <v>46149</v>
          </cell>
          <cell r="B221" t="str">
            <v>Lemonilo chimi</v>
          </cell>
          <cell r="D221">
            <v>3</v>
          </cell>
          <cell r="J221">
            <v>3</v>
          </cell>
        </row>
        <row r="222">
          <cell r="A222">
            <v>46149</v>
          </cell>
          <cell r="B222" t="str">
            <v>Bawang Goreng</v>
          </cell>
          <cell r="D222">
            <v>8</v>
          </cell>
          <cell r="J222">
            <v>1</v>
          </cell>
        </row>
        <row r="223">
          <cell r="A223">
            <v>46149</v>
          </cell>
          <cell r="B223" t="str">
            <v>Keripik Tempe</v>
          </cell>
          <cell r="D223">
            <v>8</v>
          </cell>
          <cell r="J223">
            <v>0</v>
          </cell>
        </row>
        <row r="224">
          <cell r="A224">
            <v>46149</v>
          </cell>
          <cell r="B224" t="str">
            <v>Keripik Singkong</v>
          </cell>
          <cell r="D224">
            <v>8</v>
          </cell>
          <cell r="J224">
            <v>0</v>
          </cell>
        </row>
        <row r="225">
          <cell r="A225">
            <v>46149</v>
          </cell>
          <cell r="B225" t="str">
            <v>Kentang Mustofa Daun Jeruk</v>
          </cell>
          <cell r="D225">
            <v>8</v>
          </cell>
          <cell r="J225">
            <v>0</v>
          </cell>
        </row>
        <row r="226">
          <cell r="A226">
            <v>46149</v>
          </cell>
          <cell r="B226" t="str">
            <v>Komicin</v>
          </cell>
          <cell r="D226">
            <v>8</v>
          </cell>
          <cell r="J226">
            <v>0</v>
          </cell>
        </row>
        <row r="227">
          <cell r="A227">
            <v>46149</v>
          </cell>
          <cell r="B227" t="str">
            <v>DeSnack</v>
          </cell>
          <cell r="D227">
            <v>8</v>
          </cell>
          <cell r="J227">
            <v>1</v>
          </cell>
        </row>
        <row r="228">
          <cell r="A228">
            <v>46149</v>
          </cell>
          <cell r="B228" t="str">
            <v>Macaroni</v>
          </cell>
          <cell r="D228">
            <v>8</v>
          </cell>
          <cell r="J228">
            <v>0</v>
          </cell>
        </row>
        <row r="229">
          <cell r="A229">
            <v>46149</v>
          </cell>
          <cell r="B229" t="str">
            <v>Cimol Kering</v>
          </cell>
          <cell r="D229">
            <v>8</v>
          </cell>
          <cell r="J229">
            <v>0</v>
          </cell>
        </row>
        <row r="230">
          <cell r="A230">
            <v>46149</v>
          </cell>
          <cell r="B230" t="str">
            <v>Popcorn Ori</v>
          </cell>
          <cell r="D230">
            <v>8</v>
          </cell>
          <cell r="J230">
            <v>0</v>
          </cell>
        </row>
        <row r="231">
          <cell r="A231">
            <v>46149</v>
          </cell>
          <cell r="B231" t="str">
            <v>Popcorn Rasa</v>
          </cell>
          <cell r="D231">
            <v>8</v>
          </cell>
          <cell r="J231">
            <v>2</v>
          </cell>
        </row>
        <row r="232">
          <cell r="A232">
            <v>46149</v>
          </cell>
          <cell r="B232" t="str">
            <v>Pop Mie Mini</v>
          </cell>
          <cell r="D232">
            <v>8</v>
          </cell>
          <cell r="J232">
            <v>0</v>
          </cell>
        </row>
        <row r="233">
          <cell r="A233">
            <v>46149</v>
          </cell>
          <cell r="B233" t="str">
            <v>Mie Gemez</v>
          </cell>
          <cell r="D233">
            <v>8</v>
          </cell>
          <cell r="J233">
            <v>1</v>
          </cell>
        </row>
        <row r="234">
          <cell r="A234">
            <v>46149</v>
          </cell>
          <cell r="B234" t="str">
            <v>Cheetos</v>
          </cell>
          <cell r="D234">
            <v>8</v>
          </cell>
          <cell r="J234">
            <v>4</v>
          </cell>
        </row>
        <row r="235">
          <cell r="A235">
            <v>46149</v>
          </cell>
          <cell r="B235" t="str">
            <v>Amplang</v>
          </cell>
          <cell r="D235">
            <v>8</v>
          </cell>
          <cell r="J235">
            <v>3</v>
          </cell>
        </row>
        <row r="236">
          <cell r="A236">
            <v>46149</v>
          </cell>
          <cell r="B236" t="str">
            <v>Pisang Sale</v>
          </cell>
          <cell r="D236">
            <v>8</v>
          </cell>
          <cell r="J236">
            <v>0</v>
          </cell>
        </row>
        <row r="237">
          <cell r="A237">
            <v>46149</v>
          </cell>
          <cell r="B237" t="str">
            <v>Kacang Disco</v>
          </cell>
          <cell r="D237">
            <v>8</v>
          </cell>
          <cell r="J237">
            <v>1</v>
          </cell>
        </row>
        <row r="238">
          <cell r="A238">
            <v>46149</v>
          </cell>
          <cell r="B238" t="str">
            <v>Sari gandum</v>
          </cell>
          <cell r="D238">
            <v>8</v>
          </cell>
          <cell r="J238">
            <v>2</v>
          </cell>
        </row>
        <row r="239">
          <cell r="A239">
            <v>46149</v>
          </cell>
          <cell r="B239" t="str">
            <v>Yogurt</v>
          </cell>
          <cell r="D239">
            <v>8</v>
          </cell>
          <cell r="J239">
            <v>0</v>
          </cell>
        </row>
        <row r="240">
          <cell r="A240">
            <v>46149</v>
          </cell>
          <cell r="B240" t="str">
            <v>Lemonilo chimi</v>
          </cell>
          <cell r="D240">
            <v>8</v>
          </cell>
          <cell r="J240">
            <v>0</v>
          </cell>
        </row>
        <row r="241">
          <cell r="A241">
            <v>46149</v>
          </cell>
          <cell r="B241" t="str">
            <v>Bawang Goreng</v>
          </cell>
          <cell r="D241">
            <v>9</v>
          </cell>
          <cell r="J241">
            <v>1</v>
          </cell>
        </row>
        <row r="242">
          <cell r="A242">
            <v>46149</v>
          </cell>
          <cell r="B242" t="str">
            <v>Keripik Tempe</v>
          </cell>
          <cell r="D242">
            <v>9</v>
          </cell>
          <cell r="J242">
            <v>4</v>
          </cell>
        </row>
        <row r="243">
          <cell r="A243">
            <v>46149</v>
          </cell>
          <cell r="B243" t="str">
            <v>Keripik Singkong</v>
          </cell>
          <cell r="D243">
            <v>9</v>
          </cell>
          <cell r="J243">
            <v>0</v>
          </cell>
        </row>
        <row r="244">
          <cell r="A244">
            <v>46149</v>
          </cell>
          <cell r="B244" t="str">
            <v>Kentang Mustofa Daun Jeruk</v>
          </cell>
          <cell r="D244">
            <v>9</v>
          </cell>
          <cell r="J244">
            <v>0</v>
          </cell>
        </row>
        <row r="245">
          <cell r="A245">
            <v>46149</v>
          </cell>
          <cell r="B245" t="str">
            <v>Komicin</v>
          </cell>
          <cell r="D245">
            <v>9</v>
          </cell>
          <cell r="J245">
            <v>0</v>
          </cell>
        </row>
        <row r="246">
          <cell r="A246">
            <v>46149</v>
          </cell>
          <cell r="B246" t="str">
            <v>DeSnack</v>
          </cell>
          <cell r="D246">
            <v>9</v>
          </cell>
          <cell r="J246">
            <v>2</v>
          </cell>
        </row>
        <row r="247">
          <cell r="A247">
            <v>46149</v>
          </cell>
          <cell r="B247" t="str">
            <v>Macaroni</v>
          </cell>
          <cell r="D247">
            <v>9</v>
          </cell>
          <cell r="J247">
            <v>0</v>
          </cell>
        </row>
        <row r="248">
          <cell r="A248">
            <v>46149</v>
          </cell>
          <cell r="B248" t="str">
            <v>Cimol Kering</v>
          </cell>
          <cell r="D248">
            <v>9</v>
          </cell>
          <cell r="J248">
            <v>0</v>
          </cell>
        </row>
        <row r="249">
          <cell r="A249">
            <v>46149</v>
          </cell>
          <cell r="B249" t="str">
            <v>Popcorn Ori</v>
          </cell>
          <cell r="D249">
            <v>9</v>
          </cell>
          <cell r="J249">
            <v>0</v>
          </cell>
        </row>
        <row r="250">
          <cell r="A250">
            <v>46149</v>
          </cell>
          <cell r="B250" t="str">
            <v>Popcorn Rasa</v>
          </cell>
          <cell r="D250">
            <v>9</v>
          </cell>
          <cell r="J250">
            <v>1</v>
          </cell>
        </row>
        <row r="251">
          <cell r="A251">
            <v>46149</v>
          </cell>
          <cell r="B251" t="str">
            <v>Pop Mie Mini</v>
          </cell>
          <cell r="D251">
            <v>9</v>
          </cell>
          <cell r="J251">
            <v>0</v>
          </cell>
        </row>
        <row r="252">
          <cell r="A252">
            <v>46149</v>
          </cell>
          <cell r="B252" t="str">
            <v>Mie Gemez</v>
          </cell>
          <cell r="D252">
            <v>9</v>
          </cell>
          <cell r="J252">
            <v>0</v>
          </cell>
        </row>
        <row r="253">
          <cell r="A253">
            <v>46149</v>
          </cell>
          <cell r="B253" t="str">
            <v>Cheetos</v>
          </cell>
          <cell r="D253">
            <v>9</v>
          </cell>
          <cell r="J253">
            <v>0</v>
          </cell>
        </row>
        <row r="254">
          <cell r="A254">
            <v>46149</v>
          </cell>
          <cell r="B254" t="str">
            <v>Amplang</v>
          </cell>
          <cell r="D254">
            <v>9</v>
          </cell>
          <cell r="J254">
            <v>2</v>
          </cell>
        </row>
        <row r="255">
          <cell r="A255">
            <v>46149</v>
          </cell>
          <cell r="B255" t="str">
            <v>Pisang Sale</v>
          </cell>
          <cell r="D255">
            <v>9</v>
          </cell>
          <cell r="J255">
            <v>0</v>
          </cell>
        </row>
        <row r="256">
          <cell r="A256">
            <v>46149</v>
          </cell>
          <cell r="B256" t="str">
            <v>Kacang Disco</v>
          </cell>
          <cell r="D256">
            <v>9</v>
          </cell>
          <cell r="J256">
            <v>3</v>
          </cell>
        </row>
        <row r="257">
          <cell r="A257">
            <v>46149</v>
          </cell>
          <cell r="B257" t="str">
            <v>Sari gandum</v>
          </cell>
          <cell r="D257">
            <v>9</v>
          </cell>
          <cell r="J257">
            <v>1</v>
          </cell>
        </row>
        <row r="258">
          <cell r="A258">
            <v>46149</v>
          </cell>
          <cell r="B258" t="str">
            <v>Yogurt</v>
          </cell>
          <cell r="D258">
            <v>9</v>
          </cell>
          <cell r="J258">
            <v>0</v>
          </cell>
        </row>
        <row r="259">
          <cell r="A259">
            <v>46149</v>
          </cell>
          <cell r="B259" t="str">
            <v>Lemonilo chimi</v>
          </cell>
          <cell r="D259">
            <v>9</v>
          </cell>
          <cell r="J259">
            <v>9</v>
          </cell>
        </row>
        <row r="260">
          <cell r="A260">
            <v>46153</v>
          </cell>
          <cell r="B260" t="str">
            <v>Bawang Goreng</v>
          </cell>
          <cell r="D260">
            <v>3</v>
          </cell>
          <cell r="J260">
            <v>0</v>
          </cell>
        </row>
        <row r="261">
          <cell r="A261">
            <v>46153</v>
          </cell>
          <cell r="B261" t="str">
            <v>Keripik Tempe</v>
          </cell>
          <cell r="D261">
            <v>3</v>
          </cell>
          <cell r="J261">
            <v>0</v>
          </cell>
        </row>
        <row r="262">
          <cell r="A262">
            <v>46153</v>
          </cell>
          <cell r="B262" t="str">
            <v>Keripik Singkong</v>
          </cell>
          <cell r="D262">
            <v>3</v>
          </cell>
          <cell r="J262">
            <v>2</v>
          </cell>
        </row>
        <row r="263">
          <cell r="A263">
            <v>46153</v>
          </cell>
          <cell r="B263" t="str">
            <v>Kentang Mustofa Daun Jeruk</v>
          </cell>
          <cell r="D263">
            <v>3</v>
          </cell>
          <cell r="J263">
            <v>3</v>
          </cell>
        </row>
        <row r="264">
          <cell r="A264">
            <v>46153</v>
          </cell>
          <cell r="B264" t="str">
            <v>Komicin</v>
          </cell>
          <cell r="D264">
            <v>3</v>
          </cell>
          <cell r="J264">
            <v>0</v>
          </cell>
        </row>
        <row r="265">
          <cell r="A265">
            <v>46153</v>
          </cell>
          <cell r="B265" t="str">
            <v>DeSnack</v>
          </cell>
          <cell r="D265">
            <v>3</v>
          </cell>
          <cell r="J265">
            <v>1</v>
          </cell>
        </row>
        <row r="266">
          <cell r="A266">
            <v>46153</v>
          </cell>
          <cell r="B266" t="str">
            <v>JajanYuk 18</v>
          </cell>
          <cell r="D266">
            <v>3</v>
          </cell>
          <cell r="J266">
            <v>4</v>
          </cell>
        </row>
        <row r="267">
          <cell r="A267">
            <v>46153</v>
          </cell>
          <cell r="B267" t="str">
            <v>JajanYuk 21</v>
          </cell>
          <cell r="D267">
            <v>3</v>
          </cell>
          <cell r="J267">
            <v>2</v>
          </cell>
        </row>
        <row r="268">
          <cell r="A268">
            <v>46153</v>
          </cell>
          <cell r="B268" t="str">
            <v>Popcorn ori</v>
          </cell>
          <cell r="D268">
            <v>3</v>
          </cell>
          <cell r="J268">
            <v>0</v>
          </cell>
        </row>
        <row r="269">
          <cell r="A269">
            <v>46153</v>
          </cell>
          <cell r="B269" t="str">
            <v>Popcorn Rasa</v>
          </cell>
          <cell r="D269">
            <v>3</v>
          </cell>
          <cell r="J269">
            <v>1</v>
          </cell>
        </row>
        <row r="270">
          <cell r="A270">
            <v>46153</v>
          </cell>
          <cell r="B270" t="str">
            <v>Pop Mie Mini</v>
          </cell>
          <cell r="D270">
            <v>3</v>
          </cell>
          <cell r="J270">
            <v>0</v>
          </cell>
        </row>
        <row r="271">
          <cell r="A271">
            <v>46153</v>
          </cell>
          <cell r="B271" t="str">
            <v>Mie Gemez</v>
          </cell>
          <cell r="D271">
            <v>3</v>
          </cell>
          <cell r="J271">
            <v>6</v>
          </cell>
        </row>
        <row r="272">
          <cell r="A272">
            <v>46153</v>
          </cell>
          <cell r="B272" t="str">
            <v>Cheetos</v>
          </cell>
          <cell r="D272">
            <v>3</v>
          </cell>
          <cell r="J272">
            <v>7</v>
          </cell>
        </row>
        <row r="273">
          <cell r="A273">
            <v>46153</v>
          </cell>
          <cell r="B273" t="str">
            <v>Amplang</v>
          </cell>
          <cell r="D273">
            <v>3</v>
          </cell>
          <cell r="J273">
            <v>0</v>
          </cell>
        </row>
        <row r="274">
          <cell r="A274">
            <v>46153</v>
          </cell>
          <cell r="B274" t="str">
            <v>Pisang Sale</v>
          </cell>
          <cell r="D274">
            <v>3</v>
          </cell>
          <cell r="J274">
            <v>10</v>
          </cell>
        </row>
        <row r="275">
          <cell r="A275">
            <v>46153</v>
          </cell>
          <cell r="B275" t="str">
            <v>Kacang Disco</v>
          </cell>
          <cell r="D275">
            <v>3</v>
          </cell>
          <cell r="J275">
            <v>5</v>
          </cell>
        </row>
        <row r="276">
          <cell r="A276">
            <v>46153</v>
          </cell>
          <cell r="B276" t="str">
            <v>Sari gandum</v>
          </cell>
          <cell r="D276">
            <v>3</v>
          </cell>
          <cell r="J276">
            <v>3</v>
          </cell>
        </row>
        <row r="277">
          <cell r="A277">
            <v>46153</v>
          </cell>
          <cell r="B277" t="str">
            <v>Yogurt</v>
          </cell>
          <cell r="D277">
            <v>3</v>
          </cell>
          <cell r="J277">
            <v>3</v>
          </cell>
        </row>
        <row r="278">
          <cell r="A278">
            <v>46153</v>
          </cell>
          <cell r="B278" t="str">
            <v>Lemonilo chimi</v>
          </cell>
          <cell r="D278">
            <v>3</v>
          </cell>
          <cell r="J278">
            <v>2</v>
          </cell>
        </row>
        <row r="279">
          <cell r="A279">
            <v>46153</v>
          </cell>
          <cell r="B279" t="str">
            <v>PopMie besar</v>
          </cell>
          <cell r="D279">
            <v>3</v>
          </cell>
          <cell r="J279">
            <v>4</v>
          </cell>
        </row>
        <row r="280">
          <cell r="A280">
            <v>46153</v>
          </cell>
          <cell r="B280" t="str">
            <v>YouC</v>
          </cell>
          <cell r="D280">
            <v>3</v>
          </cell>
          <cell r="J280">
            <v>2</v>
          </cell>
        </row>
        <row r="281">
          <cell r="A281">
            <v>46153</v>
          </cell>
          <cell r="B281" t="str">
            <v>Bawang Goreng</v>
          </cell>
          <cell r="D281">
            <v>8</v>
          </cell>
          <cell r="J281">
            <v>0</v>
          </cell>
        </row>
        <row r="282">
          <cell r="A282">
            <v>46153</v>
          </cell>
          <cell r="B282" t="str">
            <v>Keripik Tempe</v>
          </cell>
          <cell r="D282">
            <v>8</v>
          </cell>
          <cell r="J282">
            <v>0</v>
          </cell>
        </row>
        <row r="283">
          <cell r="A283">
            <v>46153</v>
          </cell>
          <cell r="B283" t="str">
            <v>Keripik Singkong</v>
          </cell>
          <cell r="D283">
            <v>8</v>
          </cell>
          <cell r="J283">
            <v>0</v>
          </cell>
        </row>
        <row r="284">
          <cell r="A284">
            <v>46153</v>
          </cell>
          <cell r="B284" t="str">
            <v>Kentang Mustofa Daun Jeruk</v>
          </cell>
          <cell r="D284">
            <v>8</v>
          </cell>
          <cell r="J284">
            <v>0</v>
          </cell>
        </row>
        <row r="285">
          <cell r="A285">
            <v>46153</v>
          </cell>
          <cell r="B285" t="str">
            <v>Komicin</v>
          </cell>
          <cell r="D285">
            <v>8</v>
          </cell>
          <cell r="J285">
            <v>0</v>
          </cell>
        </row>
        <row r="286">
          <cell r="A286">
            <v>46153</v>
          </cell>
          <cell r="B286" t="str">
            <v>DeSnack</v>
          </cell>
          <cell r="D286">
            <v>8</v>
          </cell>
          <cell r="J286">
            <v>2</v>
          </cell>
        </row>
        <row r="287">
          <cell r="A287">
            <v>46153</v>
          </cell>
          <cell r="B287" t="str">
            <v>JajanYuk 18</v>
          </cell>
          <cell r="D287">
            <v>8</v>
          </cell>
          <cell r="J287">
            <v>0</v>
          </cell>
        </row>
        <row r="288">
          <cell r="A288">
            <v>46153</v>
          </cell>
          <cell r="B288" t="str">
            <v>JajanYuk 21</v>
          </cell>
          <cell r="D288">
            <v>8</v>
          </cell>
          <cell r="J288">
            <v>0</v>
          </cell>
        </row>
        <row r="289">
          <cell r="A289">
            <v>46153</v>
          </cell>
          <cell r="B289" t="str">
            <v>Popcorn ori</v>
          </cell>
          <cell r="D289">
            <v>8</v>
          </cell>
          <cell r="J289">
            <v>0</v>
          </cell>
        </row>
        <row r="290">
          <cell r="A290">
            <v>46153</v>
          </cell>
          <cell r="B290" t="str">
            <v>Popcorn Rasa</v>
          </cell>
          <cell r="D290">
            <v>8</v>
          </cell>
          <cell r="J290">
            <v>0</v>
          </cell>
        </row>
        <row r="291">
          <cell r="A291">
            <v>46153</v>
          </cell>
          <cell r="B291" t="str">
            <v>Pop Mie Mini</v>
          </cell>
          <cell r="D291">
            <v>8</v>
          </cell>
          <cell r="J291">
            <v>2</v>
          </cell>
        </row>
        <row r="292">
          <cell r="A292">
            <v>46153</v>
          </cell>
          <cell r="B292" t="str">
            <v>Mie Gemez</v>
          </cell>
          <cell r="D292">
            <v>8</v>
          </cell>
          <cell r="J292">
            <v>1</v>
          </cell>
        </row>
        <row r="293">
          <cell r="A293">
            <v>46153</v>
          </cell>
          <cell r="B293" t="str">
            <v>Cheetos</v>
          </cell>
          <cell r="D293">
            <v>8</v>
          </cell>
          <cell r="J293">
            <v>10</v>
          </cell>
        </row>
        <row r="294">
          <cell r="A294">
            <v>46153</v>
          </cell>
          <cell r="B294" t="str">
            <v>Amplang</v>
          </cell>
          <cell r="D294">
            <v>8</v>
          </cell>
          <cell r="J294">
            <v>3</v>
          </cell>
        </row>
        <row r="295">
          <cell r="A295">
            <v>46153</v>
          </cell>
          <cell r="B295" t="str">
            <v>Pisang Sale</v>
          </cell>
          <cell r="D295">
            <v>8</v>
          </cell>
          <cell r="J295">
            <v>2</v>
          </cell>
        </row>
        <row r="296">
          <cell r="A296">
            <v>46153</v>
          </cell>
          <cell r="B296" t="str">
            <v>Kacang Disco</v>
          </cell>
          <cell r="D296">
            <v>8</v>
          </cell>
          <cell r="J296">
            <v>0</v>
          </cell>
        </row>
        <row r="297">
          <cell r="A297">
            <v>46153</v>
          </cell>
          <cell r="B297" t="str">
            <v>Sari gandum</v>
          </cell>
          <cell r="D297">
            <v>8</v>
          </cell>
          <cell r="J297">
            <v>3</v>
          </cell>
        </row>
        <row r="298">
          <cell r="A298">
            <v>46153</v>
          </cell>
          <cell r="B298" t="str">
            <v>Yogurt</v>
          </cell>
          <cell r="D298">
            <v>8</v>
          </cell>
          <cell r="J298">
            <v>0</v>
          </cell>
        </row>
        <row r="299">
          <cell r="A299">
            <v>46153</v>
          </cell>
          <cell r="B299" t="str">
            <v>Lemonilo chimi</v>
          </cell>
          <cell r="D299">
            <v>8</v>
          </cell>
          <cell r="J299">
            <v>2</v>
          </cell>
        </row>
        <row r="300">
          <cell r="A300">
            <v>46153</v>
          </cell>
          <cell r="B300" t="str">
            <v>PopMie besar</v>
          </cell>
          <cell r="D300">
            <v>8</v>
          </cell>
          <cell r="J300">
            <v>5</v>
          </cell>
        </row>
        <row r="301">
          <cell r="A301">
            <v>46153</v>
          </cell>
          <cell r="B301" t="str">
            <v>YouC</v>
          </cell>
          <cell r="D301">
            <v>8</v>
          </cell>
          <cell r="J301">
            <v>0</v>
          </cell>
        </row>
        <row r="302">
          <cell r="A302">
            <v>46153</v>
          </cell>
          <cell r="B302" t="str">
            <v>Bawang Goreng</v>
          </cell>
          <cell r="D302">
            <v>9</v>
          </cell>
          <cell r="J302">
            <v>0</v>
          </cell>
        </row>
        <row r="303">
          <cell r="A303">
            <v>46153</v>
          </cell>
          <cell r="B303" t="str">
            <v>Keripik Tempe</v>
          </cell>
          <cell r="D303">
            <v>9</v>
          </cell>
          <cell r="J303">
            <v>0</v>
          </cell>
        </row>
        <row r="304">
          <cell r="A304">
            <v>46153</v>
          </cell>
          <cell r="B304" t="str">
            <v>Keripik Singkong</v>
          </cell>
          <cell r="D304">
            <v>9</v>
          </cell>
          <cell r="J304">
            <v>0</v>
          </cell>
        </row>
        <row r="305">
          <cell r="A305">
            <v>46153</v>
          </cell>
          <cell r="B305" t="str">
            <v>Kentang Mustofa Daun Jeruk</v>
          </cell>
          <cell r="D305">
            <v>9</v>
          </cell>
          <cell r="J305">
            <v>0</v>
          </cell>
        </row>
        <row r="306">
          <cell r="A306">
            <v>46153</v>
          </cell>
          <cell r="B306" t="str">
            <v>Komicin</v>
          </cell>
          <cell r="D306">
            <v>9</v>
          </cell>
          <cell r="J306">
            <v>0</v>
          </cell>
        </row>
        <row r="307">
          <cell r="A307">
            <v>46153</v>
          </cell>
          <cell r="B307" t="str">
            <v>DeSnack</v>
          </cell>
          <cell r="D307">
            <v>9</v>
          </cell>
          <cell r="J307">
            <v>3</v>
          </cell>
        </row>
        <row r="308">
          <cell r="A308">
            <v>46153</v>
          </cell>
          <cell r="B308" t="str">
            <v>JajanYuk 18</v>
          </cell>
          <cell r="D308">
            <v>9</v>
          </cell>
          <cell r="J308">
            <v>4</v>
          </cell>
        </row>
        <row r="309">
          <cell r="A309">
            <v>46153</v>
          </cell>
          <cell r="B309" t="str">
            <v>JajanYuk 21</v>
          </cell>
          <cell r="D309">
            <v>9</v>
          </cell>
          <cell r="J309">
            <v>2</v>
          </cell>
        </row>
        <row r="310">
          <cell r="A310">
            <v>46153</v>
          </cell>
          <cell r="B310" t="str">
            <v>Popcorn ori</v>
          </cell>
          <cell r="D310">
            <v>9</v>
          </cell>
          <cell r="J310">
            <v>0</v>
          </cell>
        </row>
        <row r="311">
          <cell r="A311">
            <v>46153</v>
          </cell>
          <cell r="B311" t="str">
            <v>Popcorn Rasa</v>
          </cell>
          <cell r="D311">
            <v>9</v>
          </cell>
          <cell r="J311">
            <v>1</v>
          </cell>
        </row>
        <row r="312">
          <cell r="A312">
            <v>46153</v>
          </cell>
          <cell r="B312" t="str">
            <v>Pop Mie Mini</v>
          </cell>
          <cell r="D312">
            <v>9</v>
          </cell>
          <cell r="J312">
            <v>1</v>
          </cell>
        </row>
        <row r="313">
          <cell r="A313">
            <v>46153</v>
          </cell>
          <cell r="B313" t="str">
            <v>Mie Gemez</v>
          </cell>
          <cell r="D313">
            <v>9</v>
          </cell>
          <cell r="J313">
            <v>6</v>
          </cell>
        </row>
        <row r="314">
          <cell r="A314">
            <v>46153</v>
          </cell>
          <cell r="B314" t="str">
            <v>Cheetos</v>
          </cell>
          <cell r="D314">
            <v>9</v>
          </cell>
          <cell r="J314">
            <v>7</v>
          </cell>
        </row>
        <row r="315">
          <cell r="A315">
            <v>46153</v>
          </cell>
          <cell r="B315" t="str">
            <v>Amplang</v>
          </cell>
          <cell r="D315">
            <v>9</v>
          </cell>
          <cell r="J315">
            <v>0</v>
          </cell>
        </row>
        <row r="316">
          <cell r="A316">
            <v>46153</v>
          </cell>
          <cell r="B316" t="str">
            <v>Pisang Sale</v>
          </cell>
          <cell r="D316">
            <v>9</v>
          </cell>
          <cell r="J316">
            <v>10</v>
          </cell>
        </row>
        <row r="317">
          <cell r="A317">
            <v>46153</v>
          </cell>
          <cell r="B317" t="str">
            <v>Kacang Disco</v>
          </cell>
          <cell r="D317">
            <v>9</v>
          </cell>
          <cell r="J317">
            <v>2</v>
          </cell>
        </row>
        <row r="318">
          <cell r="A318">
            <v>46153</v>
          </cell>
          <cell r="B318" t="str">
            <v>Sari gandum</v>
          </cell>
          <cell r="D318">
            <v>9</v>
          </cell>
          <cell r="J318">
            <v>3</v>
          </cell>
        </row>
        <row r="319">
          <cell r="A319">
            <v>46153</v>
          </cell>
          <cell r="B319" t="str">
            <v>Yogurt</v>
          </cell>
          <cell r="D319">
            <v>9</v>
          </cell>
          <cell r="J319">
            <v>3</v>
          </cell>
        </row>
        <row r="320">
          <cell r="A320">
            <v>46153</v>
          </cell>
          <cell r="B320" t="str">
            <v>Lemonilo chimi</v>
          </cell>
          <cell r="D320">
            <v>9</v>
          </cell>
          <cell r="J320">
            <v>2</v>
          </cell>
        </row>
        <row r="321">
          <cell r="A321">
            <v>46153</v>
          </cell>
          <cell r="B321" t="str">
            <v>PopMie besar</v>
          </cell>
          <cell r="D321">
            <v>9</v>
          </cell>
          <cell r="J321">
            <v>4</v>
          </cell>
        </row>
        <row r="322">
          <cell r="A322">
            <v>46153</v>
          </cell>
          <cell r="B322" t="str">
            <v>YouC</v>
          </cell>
          <cell r="D322">
            <v>9</v>
          </cell>
          <cell r="J322">
            <v>2</v>
          </cell>
        </row>
        <row r="323">
          <cell r="A323">
            <v>46154</v>
          </cell>
          <cell r="B323" t="str">
            <v>Bawang Goreng</v>
          </cell>
          <cell r="D323">
            <v>3</v>
          </cell>
          <cell r="J323">
            <v>4</v>
          </cell>
        </row>
        <row r="324">
          <cell r="A324">
            <v>46154</v>
          </cell>
          <cell r="B324" t="str">
            <v>Keripik Tempe</v>
          </cell>
          <cell r="D324">
            <v>3</v>
          </cell>
          <cell r="J324">
            <v>6</v>
          </cell>
        </row>
        <row r="325">
          <cell r="A325">
            <v>46154</v>
          </cell>
          <cell r="B325" t="str">
            <v>Keripik Singkong</v>
          </cell>
          <cell r="D325">
            <v>3</v>
          </cell>
          <cell r="J325">
            <v>-1</v>
          </cell>
        </row>
        <row r="326">
          <cell r="A326">
            <v>46154</v>
          </cell>
          <cell r="B326" t="str">
            <v>Kentang Mustofa Daun Jeruk</v>
          </cell>
          <cell r="D326">
            <v>3</v>
          </cell>
          <cell r="J326">
            <v>-2</v>
          </cell>
        </row>
        <row r="327">
          <cell r="A327">
            <v>46154</v>
          </cell>
          <cell r="B327" t="str">
            <v>Komicin</v>
          </cell>
          <cell r="D327">
            <v>3</v>
          </cell>
          <cell r="J327">
            <v>3</v>
          </cell>
        </row>
        <row r="328">
          <cell r="A328">
            <v>46154</v>
          </cell>
          <cell r="B328" t="str">
            <v>DeSnack</v>
          </cell>
          <cell r="D328">
            <v>3</v>
          </cell>
          <cell r="J328">
            <v>0</v>
          </cell>
        </row>
        <row r="329">
          <cell r="A329">
            <v>46154</v>
          </cell>
          <cell r="B329" t="str">
            <v>JajanYuk 18</v>
          </cell>
          <cell r="D329">
            <v>3</v>
          </cell>
          <cell r="J329">
            <v>-2</v>
          </cell>
        </row>
        <row r="330">
          <cell r="A330">
            <v>46154</v>
          </cell>
          <cell r="B330" t="str">
            <v>JajanYuk 21</v>
          </cell>
          <cell r="D330">
            <v>3</v>
          </cell>
          <cell r="J330">
            <v>1</v>
          </cell>
        </row>
        <row r="331">
          <cell r="A331">
            <v>46154</v>
          </cell>
          <cell r="B331" t="str">
            <v>Popcorn ori</v>
          </cell>
          <cell r="D331">
            <v>3</v>
          </cell>
          <cell r="J331">
            <v>1</v>
          </cell>
        </row>
        <row r="332">
          <cell r="A332">
            <v>46154</v>
          </cell>
          <cell r="B332" t="str">
            <v>Popcorn Rasa</v>
          </cell>
          <cell r="D332">
            <v>3</v>
          </cell>
          <cell r="J332">
            <v>2</v>
          </cell>
        </row>
        <row r="333">
          <cell r="A333">
            <v>46154</v>
          </cell>
          <cell r="B333" t="str">
            <v>Pop Mie Mini</v>
          </cell>
          <cell r="D333">
            <v>3</v>
          </cell>
          <cell r="J333">
            <v>0</v>
          </cell>
        </row>
        <row r="334">
          <cell r="A334">
            <v>46154</v>
          </cell>
          <cell r="B334" t="str">
            <v>Mie Gemez</v>
          </cell>
          <cell r="D334">
            <v>3</v>
          </cell>
          <cell r="J334">
            <v>10</v>
          </cell>
        </row>
        <row r="335">
          <cell r="A335">
            <v>46154</v>
          </cell>
          <cell r="B335" t="str">
            <v>Cheetos</v>
          </cell>
          <cell r="D335">
            <v>3</v>
          </cell>
          <cell r="J335">
            <v>4</v>
          </cell>
        </row>
        <row r="336">
          <cell r="A336">
            <v>46154</v>
          </cell>
          <cell r="B336" t="str">
            <v>Amplang</v>
          </cell>
          <cell r="D336">
            <v>3</v>
          </cell>
          <cell r="J336">
            <v>3</v>
          </cell>
        </row>
        <row r="337">
          <cell r="A337">
            <v>46154</v>
          </cell>
          <cell r="B337" t="str">
            <v>Pisang Sale</v>
          </cell>
          <cell r="D337">
            <v>3</v>
          </cell>
          <cell r="J337">
            <v>0</v>
          </cell>
        </row>
        <row r="338">
          <cell r="A338">
            <v>46154</v>
          </cell>
          <cell r="B338" t="str">
            <v>Kacang Disco</v>
          </cell>
          <cell r="D338">
            <v>3</v>
          </cell>
          <cell r="J338">
            <v>-3</v>
          </cell>
        </row>
        <row r="339">
          <cell r="A339">
            <v>46154</v>
          </cell>
          <cell r="B339" t="str">
            <v>Sari gandum</v>
          </cell>
          <cell r="D339">
            <v>3</v>
          </cell>
          <cell r="J339">
            <v>0</v>
          </cell>
        </row>
        <row r="340">
          <cell r="A340">
            <v>46154</v>
          </cell>
          <cell r="B340" t="str">
            <v>Yogurt</v>
          </cell>
          <cell r="D340">
            <v>3</v>
          </cell>
          <cell r="J340">
            <v>-1</v>
          </cell>
        </row>
        <row r="341">
          <cell r="A341">
            <v>46154</v>
          </cell>
          <cell r="B341" t="str">
            <v>Lemonilo chimi</v>
          </cell>
          <cell r="D341">
            <v>3</v>
          </cell>
          <cell r="J341">
            <v>13</v>
          </cell>
        </row>
        <row r="342">
          <cell r="A342">
            <v>46154</v>
          </cell>
          <cell r="B342" t="str">
            <v>PopMie besar</v>
          </cell>
          <cell r="D342">
            <v>3</v>
          </cell>
          <cell r="J342">
            <v>0</v>
          </cell>
        </row>
        <row r="343">
          <cell r="A343">
            <v>46154</v>
          </cell>
          <cell r="B343" t="str">
            <v>YouC</v>
          </cell>
          <cell r="D343">
            <v>3</v>
          </cell>
          <cell r="J343">
            <v>-1</v>
          </cell>
        </row>
        <row r="344">
          <cell r="A344">
            <v>46154</v>
          </cell>
          <cell r="B344" t="str">
            <v>Bawang Goreng</v>
          </cell>
          <cell r="D344">
            <v>8</v>
          </cell>
          <cell r="J344">
            <v>0</v>
          </cell>
        </row>
        <row r="345">
          <cell r="A345">
            <v>46154</v>
          </cell>
          <cell r="B345" t="str">
            <v>Keripik Tempe</v>
          </cell>
          <cell r="D345">
            <v>8</v>
          </cell>
          <cell r="J345">
            <v>5</v>
          </cell>
        </row>
        <row r="346">
          <cell r="A346">
            <v>46154</v>
          </cell>
          <cell r="B346" t="str">
            <v>Keripik Singkong</v>
          </cell>
          <cell r="D346">
            <v>8</v>
          </cell>
          <cell r="J346">
            <v>0</v>
          </cell>
        </row>
        <row r="347">
          <cell r="A347">
            <v>46154</v>
          </cell>
          <cell r="B347" t="str">
            <v>Kentang Mustofa Daun Jeruk</v>
          </cell>
          <cell r="D347">
            <v>8</v>
          </cell>
          <cell r="J347">
            <v>0</v>
          </cell>
        </row>
        <row r="348">
          <cell r="A348">
            <v>46154</v>
          </cell>
          <cell r="B348" t="str">
            <v>Komicin</v>
          </cell>
          <cell r="D348">
            <v>8</v>
          </cell>
          <cell r="J348">
            <v>1</v>
          </cell>
        </row>
        <row r="349">
          <cell r="A349">
            <v>46154</v>
          </cell>
          <cell r="B349" t="str">
            <v>DeSnack</v>
          </cell>
          <cell r="D349">
            <v>8</v>
          </cell>
          <cell r="J349">
            <v>1</v>
          </cell>
        </row>
        <row r="350">
          <cell r="A350">
            <v>46154</v>
          </cell>
          <cell r="B350" t="str">
            <v>JajanYuk 18</v>
          </cell>
          <cell r="D350">
            <v>8</v>
          </cell>
          <cell r="J350">
            <v>0</v>
          </cell>
        </row>
        <row r="351">
          <cell r="A351">
            <v>46154</v>
          </cell>
          <cell r="B351" t="str">
            <v>JajanYuk 21</v>
          </cell>
          <cell r="D351">
            <v>8</v>
          </cell>
          <cell r="J351">
            <v>3</v>
          </cell>
        </row>
        <row r="352">
          <cell r="A352">
            <v>46154</v>
          </cell>
          <cell r="B352" t="str">
            <v>Popcorn ori</v>
          </cell>
          <cell r="D352">
            <v>8</v>
          </cell>
          <cell r="J352">
            <v>0</v>
          </cell>
        </row>
        <row r="353">
          <cell r="A353">
            <v>46154</v>
          </cell>
          <cell r="B353" t="str">
            <v>Popcorn Rasa</v>
          </cell>
          <cell r="D353">
            <v>8</v>
          </cell>
          <cell r="J353">
            <v>2</v>
          </cell>
        </row>
        <row r="354">
          <cell r="A354">
            <v>46154</v>
          </cell>
          <cell r="B354" t="str">
            <v>Pop Mie Mini</v>
          </cell>
          <cell r="D354">
            <v>8</v>
          </cell>
          <cell r="J354">
            <v>1</v>
          </cell>
        </row>
        <row r="355">
          <cell r="A355">
            <v>46154</v>
          </cell>
          <cell r="B355" t="str">
            <v>Mie Gemez</v>
          </cell>
          <cell r="D355">
            <v>8</v>
          </cell>
          <cell r="J355">
            <v>1</v>
          </cell>
        </row>
        <row r="356">
          <cell r="A356">
            <v>46154</v>
          </cell>
          <cell r="B356" t="str">
            <v>Cheetos</v>
          </cell>
          <cell r="D356">
            <v>8</v>
          </cell>
          <cell r="J356">
            <v>2</v>
          </cell>
        </row>
        <row r="357">
          <cell r="A357">
            <v>46154</v>
          </cell>
          <cell r="B357" t="str">
            <v>Amplang</v>
          </cell>
          <cell r="D357">
            <v>8</v>
          </cell>
          <cell r="J357">
            <v>4</v>
          </cell>
        </row>
        <row r="358">
          <cell r="A358">
            <v>46154</v>
          </cell>
          <cell r="B358" t="str">
            <v>Pisang Sale</v>
          </cell>
          <cell r="D358">
            <v>8</v>
          </cell>
          <cell r="J358">
            <v>3</v>
          </cell>
        </row>
        <row r="359">
          <cell r="A359">
            <v>46154</v>
          </cell>
          <cell r="B359" t="str">
            <v>Kacang Disco</v>
          </cell>
          <cell r="D359">
            <v>8</v>
          </cell>
          <cell r="J359">
            <v>0</v>
          </cell>
        </row>
        <row r="360">
          <cell r="A360">
            <v>46154</v>
          </cell>
          <cell r="B360" t="str">
            <v>Sari gandum</v>
          </cell>
          <cell r="D360">
            <v>8</v>
          </cell>
          <cell r="J360">
            <v>3</v>
          </cell>
        </row>
        <row r="361">
          <cell r="A361">
            <v>46154</v>
          </cell>
          <cell r="B361" t="str">
            <v>Yogurt</v>
          </cell>
          <cell r="D361">
            <v>8</v>
          </cell>
          <cell r="J361">
            <v>2</v>
          </cell>
        </row>
        <row r="362">
          <cell r="A362">
            <v>46154</v>
          </cell>
          <cell r="B362" t="str">
            <v>Lemonilo chimi</v>
          </cell>
          <cell r="D362">
            <v>8</v>
          </cell>
          <cell r="J362">
            <v>2</v>
          </cell>
        </row>
        <row r="363">
          <cell r="A363">
            <v>46154</v>
          </cell>
          <cell r="B363" t="str">
            <v>PopMie besar</v>
          </cell>
          <cell r="D363">
            <v>8</v>
          </cell>
          <cell r="J363">
            <v>1</v>
          </cell>
        </row>
        <row r="364">
          <cell r="A364">
            <v>46154</v>
          </cell>
          <cell r="B364" t="str">
            <v>YouC</v>
          </cell>
          <cell r="D364">
            <v>8</v>
          </cell>
          <cell r="J364">
            <v>2</v>
          </cell>
        </row>
        <row r="365">
          <cell r="A365">
            <v>46154</v>
          </cell>
          <cell r="B365" t="str">
            <v>Bawang Goreng</v>
          </cell>
          <cell r="D365">
            <v>9</v>
          </cell>
          <cell r="J365">
            <v>1</v>
          </cell>
        </row>
        <row r="366">
          <cell r="A366">
            <v>46154</v>
          </cell>
          <cell r="B366" t="str">
            <v>Keripik Tempe</v>
          </cell>
          <cell r="D366">
            <v>9</v>
          </cell>
          <cell r="J366">
            <v>5</v>
          </cell>
        </row>
        <row r="367">
          <cell r="A367">
            <v>46154</v>
          </cell>
          <cell r="B367" t="str">
            <v>Keripik Singkong</v>
          </cell>
          <cell r="D367">
            <v>9</v>
          </cell>
          <cell r="J367">
            <v>0</v>
          </cell>
        </row>
        <row r="368">
          <cell r="A368">
            <v>46154</v>
          </cell>
          <cell r="B368" t="str">
            <v>Kentang Mustofa Daun Jeruk</v>
          </cell>
          <cell r="D368">
            <v>9</v>
          </cell>
          <cell r="J368">
            <v>0</v>
          </cell>
        </row>
        <row r="369">
          <cell r="A369">
            <v>46154</v>
          </cell>
          <cell r="B369" t="str">
            <v>Komicin</v>
          </cell>
          <cell r="D369">
            <v>9</v>
          </cell>
          <cell r="J369">
            <v>7</v>
          </cell>
        </row>
        <row r="370">
          <cell r="A370">
            <v>46154</v>
          </cell>
          <cell r="B370" t="str">
            <v>DeSnack</v>
          </cell>
          <cell r="D370">
            <v>9</v>
          </cell>
          <cell r="J370">
            <v>0</v>
          </cell>
        </row>
        <row r="371">
          <cell r="A371">
            <v>46154</v>
          </cell>
          <cell r="B371" t="str">
            <v>JajanYuk 18</v>
          </cell>
          <cell r="D371">
            <v>9</v>
          </cell>
          <cell r="J371">
            <v>0</v>
          </cell>
        </row>
        <row r="372">
          <cell r="A372">
            <v>46154</v>
          </cell>
          <cell r="B372" t="str">
            <v>JajanYuk 21</v>
          </cell>
          <cell r="D372">
            <v>9</v>
          </cell>
          <cell r="J372">
            <v>1</v>
          </cell>
        </row>
        <row r="373">
          <cell r="A373">
            <v>46154</v>
          </cell>
          <cell r="B373" t="str">
            <v>Popcorn ori</v>
          </cell>
          <cell r="D373">
            <v>9</v>
          </cell>
          <cell r="J373">
            <v>0</v>
          </cell>
        </row>
        <row r="374">
          <cell r="A374">
            <v>46154</v>
          </cell>
          <cell r="B374" t="str">
            <v>Popcorn Rasa</v>
          </cell>
          <cell r="D374">
            <v>9</v>
          </cell>
          <cell r="J374">
            <v>0</v>
          </cell>
        </row>
        <row r="375">
          <cell r="A375">
            <v>46154</v>
          </cell>
          <cell r="B375" t="str">
            <v>Pop Mie Mini</v>
          </cell>
          <cell r="D375">
            <v>9</v>
          </cell>
          <cell r="J375">
            <v>2</v>
          </cell>
        </row>
        <row r="376">
          <cell r="A376">
            <v>46154</v>
          </cell>
          <cell r="B376" t="str">
            <v>Mie Gemez</v>
          </cell>
          <cell r="D376">
            <v>9</v>
          </cell>
          <cell r="J376">
            <v>7</v>
          </cell>
        </row>
        <row r="377">
          <cell r="A377">
            <v>46154</v>
          </cell>
          <cell r="B377" t="str">
            <v>Cheetos</v>
          </cell>
          <cell r="D377">
            <v>9</v>
          </cell>
          <cell r="J377">
            <v>3</v>
          </cell>
        </row>
        <row r="378">
          <cell r="A378">
            <v>46154</v>
          </cell>
          <cell r="B378" t="str">
            <v>Amplang</v>
          </cell>
          <cell r="D378">
            <v>9</v>
          </cell>
          <cell r="J378">
            <v>0</v>
          </cell>
        </row>
        <row r="379">
          <cell r="A379">
            <v>46154</v>
          </cell>
          <cell r="B379" t="str">
            <v>Pisang Sale</v>
          </cell>
          <cell r="D379">
            <v>9</v>
          </cell>
          <cell r="J379">
            <v>9</v>
          </cell>
        </row>
        <row r="380">
          <cell r="A380">
            <v>46154</v>
          </cell>
          <cell r="B380" t="str">
            <v>Kacang Disco</v>
          </cell>
          <cell r="D380">
            <v>9</v>
          </cell>
          <cell r="J380">
            <v>0</v>
          </cell>
        </row>
        <row r="381">
          <cell r="A381">
            <v>46154</v>
          </cell>
          <cell r="B381" t="str">
            <v>Sari gandum</v>
          </cell>
          <cell r="D381">
            <v>9</v>
          </cell>
          <cell r="J381">
            <v>3</v>
          </cell>
        </row>
        <row r="382">
          <cell r="A382">
            <v>46154</v>
          </cell>
          <cell r="B382" t="str">
            <v>Yogurt</v>
          </cell>
          <cell r="D382">
            <v>9</v>
          </cell>
          <cell r="J382">
            <v>1</v>
          </cell>
        </row>
        <row r="383">
          <cell r="A383">
            <v>46154</v>
          </cell>
          <cell r="B383" t="str">
            <v>Lemonilo chimi</v>
          </cell>
          <cell r="D383">
            <v>9</v>
          </cell>
          <cell r="J383">
            <v>4</v>
          </cell>
        </row>
        <row r="384">
          <cell r="A384">
            <v>46154</v>
          </cell>
          <cell r="B384" t="str">
            <v>PopMie besar</v>
          </cell>
          <cell r="D384">
            <v>9</v>
          </cell>
          <cell r="J384">
            <v>3</v>
          </cell>
        </row>
        <row r="385">
          <cell r="A385">
            <v>46154</v>
          </cell>
          <cell r="B385" t="str">
            <v>YouC</v>
          </cell>
          <cell r="D385">
            <v>9</v>
          </cell>
          <cell r="J385">
            <v>1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951AB-A916-4397-AA75-837BDA15EBEB}">
  <dimension ref="A1:N448"/>
  <sheetViews>
    <sheetView tabSelected="1" zoomScale="85" zoomScaleNormal="85" workbookViewId="0">
      <pane ySplit="1" topLeftCell="A2" activePane="bottomLeft" state="frozen"/>
      <selection pane="bottomLeft" activeCell="F2" sqref="F2"/>
    </sheetView>
  </sheetViews>
  <sheetFormatPr defaultColWidth="20.33203125" defaultRowHeight="14.4" x14ac:dyDescent="0.3"/>
  <cols>
    <col min="2" max="2" width="34.109375" customWidth="1"/>
  </cols>
  <sheetData>
    <row r="1" spans="1:14" ht="28.2" thickBot="1" x14ac:dyDescent="0.35">
      <c r="A1" s="7" t="s">
        <v>0</v>
      </c>
      <c r="B1" s="6" t="s">
        <v>1</v>
      </c>
      <c r="C1" s="6" t="s">
        <v>2</v>
      </c>
      <c r="D1" s="5" t="s">
        <v>3</v>
      </c>
      <c r="E1" s="5" t="s">
        <v>45</v>
      </c>
      <c r="F1" s="5" t="s">
        <v>49</v>
      </c>
      <c r="G1" s="5" t="s">
        <v>4</v>
      </c>
      <c r="H1" s="5" t="s">
        <v>5</v>
      </c>
      <c r="I1" s="1" t="s">
        <v>6</v>
      </c>
      <c r="J1" s="2" t="s">
        <v>7</v>
      </c>
      <c r="K1" s="2" t="s">
        <v>8</v>
      </c>
      <c r="L1" s="3" t="s">
        <v>9</v>
      </c>
      <c r="M1" s="1" t="s">
        <v>10</v>
      </c>
      <c r="N1" s="4" t="s">
        <v>11</v>
      </c>
    </row>
    <row r="2" spans="1:14" ht="15" thickBot="1" x14ac:dyDescent="0.35">
      <c r="A2" s="9">
        <v>46142</v>
      </c>
      <c r="B2" s="10" t="s">
        <v>12</v>
      </c>
      <c r="C2" s="13">
        <v>3</v>
      </c>
      <c r="D2" s="11">
        <f>VLOOKUP(B2,[1]lantai9!$B:$G,6,FALSE)</f>
        <v>35000</v>
      </c>
      <c r="E2" s="11">
        <f>VLOOKUP(B2,karyawan!B:D,3,FALSE)</f>
        <v>34000</v>
      </c>
      <c r="F2" s="11" t="str">
        <f>VLOOKUP(B2,karyawan!B:E,4,FALSE)</f>
        <v>Florida</v>
      </c>
      <c r="G2" s="12">
        <v>5</v>
      </c>
      <c r="H2" s="12"/>
      <c r="I2" s="13">
        <v>5</v>
      </c>
      <c r="J2" s="13">
        <v>0</v>
      </c>
      <c r="K2" s="14">
        <f t="shared" ref="K2:K65" si="0">IF($G2-$L2&lt;0,0,$G2-$L2)</f>
        <v>5</v>
      </c>
      <c r="L2" s="13">
        <v>0</v>
      </c>
      <c r="M2" s="13">
        <f>MAX($I2-$L2,0)</f>
        <v>5</v>
      </c>
      <c r="N2" s="15">
        <f t="shared" ref="N2:N65" si="1">M2*D2</f>
        <v>175000</v>
      </c>
    </row>
    <row r="3" spans="1:14" ht="15" thickBot="1" x14ac:dyDescent="0.35">
      <c r="A3" s="9">
        <v>46142</v>
      </c>
      <c r="B3" s="10" t="s">
        <v>13</v>
      </c>
      <c r="C3" s="13">
        <v>3</v>
      </c>
      <c r="D3" s="11">
        <f>VLOOKUP(B3,[1]lantai9!$B:$G,6,FALSE)</f>
        <v>23000</v>
      </c>
      <c r="E3" s="11">
        <f>VLOOKUP(B3,karyawan!B:D,3,FALSE)</f>
        <v>22000</v>
      </c>
      <c r="F3" s="11" t="str">
        <f>VLOOKUP(B3,karyawan!B:E,4,FALSE)</f>
        <v>Yohannes</v>
      </c>
      <c r="G3" s="12">
        <v>6</v>
      </c>
      <c r="H3" s="12"/>
      <c r="I3" s="13">
        <v>6</v>
      </c>
      <c r="J3" s="13">
        <v>0</v>
      </c>
      <c r="K3" s="14">
        <f t="shared" si="0"/>
        <v>6</v>
      </c>
      <c r="L3" s="13">
        <v>0</v>
      </c>
      <c r="M3" s="13">
        <f t="shared" ref="M3:M66" si="2">MAX($I3-$L3,0)</f>
        <v>6</v>
      </c>
      <c r="N3" s="15">
        <f t="shared" si="1"/>
        <v>138000</v>
      </c>
    </row>
    <row r="4" spans="1:14" ht="15" thickBot="1" x14ac:dyDescent="0.35">
      <c r="A4" s="9">
        <v>46142</v>
      </c>
      <c r="B4" s="10" t="s">
        <v>14</v>
      </c>
      <c r="C4" s="13">
        <v>3</v>
      </c>
      <c r="D4" s="11">
        <f>VLOOKUP(B4,[1]lantai9!$B:$G,6,FALSE)</f>
        <v>21000</v>
      </c>
      <c r="E4" s="11">
        <f>VLOOKUP(B4,karyawan!B:D,3,FALSE)</f>
        <v>20000</v>
      </c>
      <c r="F4" s="11" t="str">
        <f>VLOOKUP(B4,karyawan!B:E,4,FALSE)</f>
        <v>Damaz</v>
      </c>
      <c r="G4" s="12">
        <v>2</v>
      </c>
      <c r="H4" s="12"/>
      <c r="I4" s="13">
        <v>2</v>
      </c>
      <c r="J4" s="13">
        <v>2</v>
      </c>
      <c r="K4" s="14">
        <f t="shared" si="0"/>
        <v>0</v>
      </c>
      <c r="L4" s="13">
        <v>2</v>
      </c>
      <c r="M4" s="13">
        <f t="shared" si="2"/>
        <v>0</v>
      </c>
      <c r="N4" s="15">
        <f t="shared" si="1"/>
        <v>0</v>
      </c>
    </row>
    <row r="5" spans="1:14" ht="15" thickBot="1" x14ac:dyDescent="0.35">
      <c r="A5" s="9">
        <v>46142</v>
      </c>
      <c r="B5" s="10" t="s">
        <v>15</v>
      </c>
      <c r="C5" s="13">
        <v>3</v>
      </c>
      <c r="D5" s="11">
        <f>VLOOKUP(B5,[1]lantai9!$B:$G,6,FALSE)</f>
        <v>36000</v>
      </c>
      <c r="E5" s="11">
        <f>VLOOKUP(B5,karyawan!B:D,3,FALSE)</f>
        <v>35000</v>
      </c>
      <c r="F5" s="11" t="str">
        <f>VLOOKUP(B5,karyawan!B:E,4,FALSE)</f>
        <v>Damaz</v>
      </c>
      <c r="G5" s="12">
        <v>3</v>
      </c>
      <c r="H5" s="12"/>
      <c r="I5" s="13">
        <v>3</v>
      </c>
      <c r="J5" s="13">
        <v>3</v>
      </c>
      <c r="K5" s="14">
        <f t="shared" si="0"/>
        <v>0</v>
      </c>
      <c r="L5" s="13">
        <v>3</v>
      </c>
      <c r="M5" s="13">
        <f t="shared" si="2"/>
        <v>0</v>
      </c>
      <c r="N5" s="15">
        <f t="shared" si="1"/>
        <v>0</v>
      </c>
    </row>
    <row r="6" spans="1:14" ht="15" thickBot="1" x14ac:dyDescent="0.35">
      <c r="A6" s="9">
        <v>46142</v>
      </c>
      <c r="B6" s="10" t="s">
        <v>16</v>
      </c>
      <c r="C6" s="13">
        <v>3</v>
      </c>
      <c r="D6" s="11">
        <f>VLOOKUP(B6,[1]lantai9!$B:$G,6,FALSE)</f>
        <v>23000</v>
      </c>
      <c r="E6" s="11">
        <f>VLOOKUP(B6,karyawan!B:D,3,FALSE)</f>
        <v>22000</v>
      </c>
      <c r="F6" s="11" t="str">
        <f>VLOOKUP(B6,karyawan!B:E,4,FALSE)</f>
        <v>Vale</v>
      </c>
      <c r="G6" s="12">
        <v>5</v>
      </c>
      <c r="H6" s="12"/>
      <c r="I6" s="12">
        <v>5</v>
      </c>
      <c r="J6" s="13">
        <v>2</v>
      </c>
      <c r="K6" s="14">
        <f t="shared" si="0"/>
        <v>3</v>
      </c>
      <c r="L6" s="13">
        <v>2</v>
      </c>
      <c r="M6" s="13">
        <f t="shared" si="2"/>
        <v>3</v>
      </c>
      <c r="N6" s="15">
        <f t="shared" si="1"/>
        <v>69000</v>
      </c>
    </row>
    <row r="7" spans="1:14" ht="15" thickBot="1" x14ac:dyDescent="0.35">
      <c r="A7" s="9">
        <v>46142</v>
      </c>
      <c r="B7" s="10" t="s">
        <v>17</v>
      </c>
      <c r="C7" s="13">
        <v>3</v>
      </c>
      <c r="D7" s="11">
        <f>VLOOKUP(B7,[1]lantai9!$B:$G,6,FALSE)</f>
        <v>15000</v>
      </c>
      <c r="E7" s="11">
        <f>VLOOKUP(B7,karyawan!B:D,3,FALSE)</f>
        <v>14000</v>
      </c>
      <c r="F7" s="11" t="str">
        <f>VLOOKUP(B7,karyawan!B:E,4,FALSE)</f>
        <v>Desy</v>
      </c>
      <c r="G7" s="12">
        <v>6</v>
      </c>
      <c r="H7" s="12"/>
      <c r="I7" s="13">
        <v>6</v>
      </c>
      <c r="J7" s="13">
        <v>4</v>
      </c>
      <c r="K7" s="14">
        <f t="shared" si="0"/>
        <v>1</v>
      </c>
      <c r="L7" s="13">
        <v>5</v>
      </c>
      <c r="M7" s="13">
        <f t="shared" si="2"/>
        <v>1</v>
      </c>
      <c r="N7" s="15">
        <f t="shared" si="1"/>
        <v>15000</v>
      </c>
    </row>
    <row r="8" spans="1:14" ht="15" thickBot="1" x14ac:dyDescent="0.35">
      <c r="A8" s="9">
        <v>46142</v>
      </c>
      <c r="B8" s="10" t="s">
        <v>18</v>
      </c>
      <c r="C8" s="13">
        <v>3</v>
      </c>
      <c r="D8" s="11">
        <f>VLOOKUP(B8,[1]lantai9!$B:$G,6,FALSE)</f>
        <v>18000</v>
      </c>
      <c r="E8" s="11">
        <f>VLOOKUP(B8,karyawan!B:D,3,FALSE)</f>
        <v>17000</v>
      </c>
      <c r="F8" s="11" t="str">
        <f>VLOOKUP(B8,karyawan!B:E,4,FALSE)</f>
        <v>Geby</v>
      </c>
      <c r="G8" s="12">
        <v>6</v>
      </c>
      <c r="H8" s="12"/>
      <c r="I8" s="13">
        <v>6</v>
      </c>
      <c r="J8" s="13">
        <v>4</v>
      </c>
      <c r="K8" s="14">
        <f t="shared" si="0"/>
        <v>2</v>
      </c>
      <c r="L8" s="13">
        <v>4</v>
      </c>
      <c r="M8" s="13">
        <f t="shared" si="2"/>
        <v>2</v>
      </c>
      <c r="N8" s="15">
        <f t="shared" si="1"/>
        <v>36000</v>
      </c>
    </row>
    <row r="9" spans="1:14" ht="15" thickBot="1" x14ac:dyDescent="0.35">
      <c r="A9" s="9">
        <v>46142</v>
      </c>
      <c r="B9" s="10" t="s">
        <v>19</v>
      </c>
      <c r="C9" s="13">
        <v>3</v>
      </c>
      <c r="D9" s="11">
        <f>VLOOKUP(B9,[1]lantai9!$B:$G,6,FALSE)</f>
        <v>21000</v>
      </c>
      <c r="E9" s="11">
        <f>VLOOKUP(B9,karyawan!B:D,3,FALSE)</f>
        <v>20000</v>
      </c>
      <c r="F9" s="11" t="str">
        <f>VLOOKUP(B9,karyawan!B:E,4,FALSE)</f>
        <v>Geby</v>
      </c>
      <c r="G9" s="12">
        <v>2</v>
      </c>
      <c r="H9" s="12"/>
      <c r="I9" s="13">
        <v>2</v>
      </c>
      <c r="J9" s="13">
        <v>2</v>
      </c>
      <c r="K9" s="14">
        <f t="shared" si="0"/>
        <v>0</v>
      </c>
      <c r="L9" s="13">
        <v>2</v>
      </c>
      <c r="M9" s="13">
        <f t="shared" si="2"/>
        <v>0</v>
      </c>
      <c r="N9" s="15">
        <f t="shared" si="1"/>
        <v>0</v>
      </c>
    </row>
    <row r="10" spans="1:14" ht="15" thickBot="1" x14ac:dyDescent="0.35">
      <c r="A10" s="9">
        <v>46142</v>
      </c>
      <c r="B10" s="10" t="s">
        <v>20</v>
      </c>
      <c r="C10" s="13">
        <v>3</v>
      </c>
      <c r="D10" s="11">
        <f>VLOOKUP(B10,[1]lantai9!$B:$G,6,FALSE)</f>
        <v>35000</v>
      </c>
      <c r="E10" s="11">
        <f>VLOOKUP(B10,karyawan!B:D,3,FALSE)</f>
        <v>34000</v>
      </c>
      <c r="F10" s="11" t="str">
        <f>VLOOKUP(B10,karyawan!B:E,4,FALSE)</f>
        <v>Sherly</v>
      </c>
      <c r="G10" s="12">
        <v>2</v>
      </c>
      <c r="H10" s="12"/>
      <c r="I10" s="13">
        <v>2</v>
      </c>
      <c r="J10" s="12">
        <v>0</v>
      </c>
      <c r="K10" s="14">
        <f t="shared" si="0"/>
        <v>2</v>
      </c>
      <c r="L10" s="13">
        <v>0</v>
      </c>
      <c r="M10" s="13">
        <f t="shared" si="2"/>
        <v>2</v>
      </c>
      <c r="N10" s="15">
        <f t="shared" si="1"/>
        <v>70000</v>
      </c>
    </row>
    <row r="11" spans="1:14" ht="15" thickBot="1" x14ac:dyDescent="0.35">
      <c r="A11" s="9">
        <v>46142</v>
      </c>
      <c r="B11" s="10" t="s">
        <v>21</v>
      </c>
      <c r="C11" s="13">
        <v>3</v>
      </c>
      <c r="D11" s="11">
        <f>VLOOKUP(B11,[1]lantai9!$B:$G,6,FALSE)</f>
        <v>40000</v>
      </c>
      <c r="E11" s="11">
        <f>VLOOKUP(B11,karyawan!B:D,3,FALSE)</f>
        <v>39000</v>
      </c>
      <c r="F11" s="11" t="str">
        <f>VLOOKUP(B11,karyawan!B:E,4,FALSE)</f>
        <v>Sherly</v>
      </c>
      <c r="G11" s="12">
        <v>4</v>
      </c>
      <c r="H11" s="12"/>
      <c r="I11" s="12">
        <v>4</v>
      </c>
      <c r="J11" s="13">
        <v>1</v>
      </c>
      <c r="K11" s="14">
        <f t="shared" si="0"/>
        <v>3</v>
      </c>
      <c r="L11" s="13">
        <v>1</v>
      </c>
      <c r="M11" s="13">
        <f t="shared" si="2"/>
        <v>3</v>
      </c>
      <c r="N11" s="15">
        <f t="shared" si="1"/>
        <v>120000</v>
      </c>
    </row>
    <row r="12" spans="1:14" ht="15" thickBot="1" x14ac:dyDescent="0.35">
      <c r="A12" s="9">
        <v>46142</v>
      </c>
      <c r="B12" s="10" t="s">
        <v>22</v>
      </c>
      <c r="C12" s="12">
        <v>3</v>
      </c>
      <c r="D12" s="11">
        <f>VLOOKUP(B12,[1]lantai9!$B:$G,6,FALSE)</f>
        <v>2500</v>
      </c>
      <c r="E12" s="11">
        <f>VLOOKUP(B12,karyawan!B:D,3,FALSE)</f>
        <v>1480</v>
      </c>
      <c r="F12" s="11" t="str">
        <f>VLOOKUP(B12,karyawan!B:E,4,FALSE)</f>
        <v>Compliance</v>
      </c>
      <c r="G12" s="12">
        <v>12</v>
      </c>
      <c r="H12" s="12"/>
      <c r="I12" s="13">
        <v>12</v>
      </c>
      <c r="J12" s="13">
        <v>0</v>
      </c>
      <c r="K12" s="14">
        <f t="shared" si="0"/>
        <v>0</v>
      </c>
      <c r="L12" s="13">
        <v>12</v>
      </c>
      <c r="M12" s="13">
        <f t="shared" si="2"/>
        <v>0</v>
      </c>
      <c r="N12" s="15">
        <f t="shared" si="1"/>
        <v>0</v>
      </c>
    </row>
    <row r="13" spans="1:14" ht="15" thickBot="1" x14ac:dyDescent="0.35">
      <c r="A13" s="9">
        <v>46142</v>
      </c>
      <c r="B13" s="10" t="s">
        <v>23</v>
      </c>
      <c r="C13" s="13">
        <v>3</v>
      </c>
      <c r="D13" s="11">
        <f>VLOOKUP(B13,[1]lantai9!$B:$G,6,FALSE)</f>
        <v>2000</v>
      </c>
      <c r="E13" s="11">
        <f>VLOOKUP(B13,karyawan!B:D,3,FALSE)</f>
        <v>1074</v>
      </c>
      <c r="F13" s="11" t="str">
        <f>VLOOKUP(B13,karyawan!B:E,4,FALSE)</f>
        <v>Compliance</v>
      </c>
      <c r="G13" s="12">
        <v>10</v>
      </c>
      <c r="H13" s="12"/>
      <c r="I13" s="13">
        <v>10</v>
      </c>
      <c r="J13" s="13">
        <v>9</v>
      </c>
      <c r="K13" s="14">
        <f t="shared" si="0"/>
        <v>6</v>
      </c>
      <c r="L13" s="13">
        <v>4</v>
      </c>
      <c r="M13" s="13">
        <f t="shared" si="2"/>
        <v>6</v>
      </c>
      <c r="N13" s="15">
        <f t="shared" si="1"/>
        <v>12000</v>
      </c>
    </row>
    <row r="14" spans="1:14" ht="15" thickBot="1" x14ac:dyDescent="0.35">
      <c r="A14" s="9">
        <v>46142</v>
      </c>
      <c r="B14" s="10" t="s">
        <v>24</v>
      </c>
      <c r="C14" s="13">
        <v>3</v>
      </c>
      <c r="D14" s="11">
        <f>VLOOKUP(B14,[1]lantai9!$B:$G,6,FALSE)</f>
        <v>2500</v>
      </c>
      <c r="E14" s="11">
        <f>VLOOKUP(B14,karyawan!B:D,3,FALSE)</f>
        <v>1465</v>
      </c>
      <c r="F14" s="11" t="str">
        <f>VLOOKUP(B14,karyawan!B:E,4,FALSE)</f>
        <v>Compliance</v>
      </c>
      <c r="G14" s="12">
        <v>10</v>
      </c>
      <c r="H14" s="12"/>
      <c r="I14" s="13">
        <v>10</v>
      </c>
      <c r="J14" s="13">
        <v>10</v>
      </c>
      <c r="K14" s="14">
        <f t="shared" si="0"/>
        <v>5</v>
      </c>
      <c r="L14" s="13">
        <v>5</v>
      </c>
      <c r="M14" s="13">
        <f t="shared" si="2"/>
        <v>5</v>
      </c>
      <c r="N14" s="15">
        <f t="shared" si="1"/>
        <v>12500</v>
      </c>
    </row>
    <row r="15" spans="1:14" ht="15" thickBot="1" x14ac:dyDescent="0.35">
      <c r="A15" s="9">
        <v>46142</v>
      </c>
      <c r="B15" s="10" t="s">
        <v>25</v>
      </c>
      <c r="C15" s="13">
        <v>3</v>
      </c>
      <c r="D15" s="11">
        <f>VLOOKUP(B15,[1]lantai9!$B:$G,6,FALSE)</f>
        <v>10000</v>
      </c>
      <c r="E15" s="11">
        <f>VLOOKUP(B15,karyawan!B:D,3,FALSE)</f>
        <v>9200</v>
      </c>
      <c r="F15" s="11" t="str">
        <f>VLOOKUP(B15,karyawan!B:E,4,FALSE)</f>
        <v>Compliance</v>
      </c>
      <c r="G15" s="12">
        <v>15</v>
      </c>
      <c r="H15" s="12"/>
      <c r="I15" s="13">
        <v>15</v>
      </c>
      <c r="J15" s="13">
        <v>0</v>
      </c>
      <c r="K15" s="14">
        <f t="shared" si="0"/>
        <v>0</v>
      </c>
      <c r="L15" s="13">
        <v>15</v>
      </c>
      <c r="M15" s="13">
        <f t="shared" si="2"/>
        <v>0</v>
      </c>
      <c r="N15" s="15">
        <f t="shared" si="1"/>
        <v>0</v>
      </c>
    </row>
    <row r="16" spans="1:14" ht="15" thickBot="1" x14ac:dyDescent="0.35">
      <c r="A16" s="9">
        <v>46142</v>
      </c>
      <c r="B16" s="10" t="s">
        <v>26</v>
      </c>
      <c r="C16" s="13">
        <v>3</v>
      </c>
      <c r="D16" s="11">
        <f>VLOOKUP(B16,[1]lantai9!$B:$G,6,FALSE)</f>
        <v>15000</v>
      </c>
      <c r="E16" s="11">
        <f>VLOOKUP(B16,karyawan!B:D,3,FALSE)</f>
        <v>13807</v>
      </c>
      <c r="F16" s="11" t="str">
        <f>VLOOKUP(B16,karyawan!B:E,4,FALSE)</f>
        <v>Compliance</v>
      </c>
      <c r="G16" s="12">
        <v>10</v>
      </c>
      <c r="H16" s="12"/>
      <c r="I16" s="13">
        <v>10</v>
      </c>
      <c r="J16" s="13">
        <v>8</v>
      </c>
      <c r="K16" s="14">
        <f t="shared" si="0"/>
        <v>2</v>
      </c>
      <c r="L16" s="13">
        <v>8</v>
      </c>
      <c r="M16" s="13">
        <f t="shared" si="2"/>
        <v>2</v>
      </c>
      <c r="N16" s="15">
        <f t="shared" si="1"/>
        <v>30000</v>
      </c>
    </row>
    <row r="17" spans="1:14" ht="15" thickBot="1" x14ac:dyDescent="0.35">
      <c r="A17" s="9">
        <v>46142</v>
      </c>
      <c r="B17" s="10" t="s">
        <v>27</v>
      </c>
      <c r="C17" s="13">
        <v>3</v>
      </c>
      <c r="D17" s="11">
        <f>VLOOKUP(B17,[1]lantai9!$B:$G,6,FALSE)</f>
        <v>23000</v>
      </c>
      <c r="E17" s="11">
        <f>VLOOKUP(B17,karyawan!B:D,3,FALSE)</f>
        <v>21760</v>
      </c>
      <c r="F17" s="11" t="str">
        <f>VLOOKUP(B17,karyawan!B:E,4,FALSE)</f>
        <v>Compliance</v>
      </c>
      <c r="G17" s="12">
        <v>7</v>
      </c>
      <c r="H17" s="12"/>
      <c r="I17" s="13">
        <v>7</v>
      </c>
      <c r="J17" s="13">
        <v>6</v>
      </c>
      <c r="K17" s="14">
        <f t="shared" si="0"/>
        <v>1</v>
      </c>
      <c r="L17" s="13">
        <v>6</v>
      </c>
      <c r="M17" s="13">
        <f t="shared" si="2"/>
        <v>1</v>
      </c>
      <c r="N17" s="15">
        <f t="shared" si="1"/>
        <v>23000</v>
      </c>
    </row>
    <row r="18" spans="1:14" ht="15" thickBot="1" x14ac:dyDescent="0.35">
      <c r="A18" s="9">
        <v>46142</v>
      </c>
      <c r="B18" s="10" t="s">
        <v>12</v>
      </c>
      <c r="C18" s="13">
        <v>8</v>
      </c>
      <c r="D18" s="11">
        <f>VLOOKUP(B18,[1]lantai9!$B:$G,6,FALSE)</f>
        <v>35000</v>
      </c>
      <c r="E18" s="11">
        <f>VLOOKUP(B18,karyawan!B:D,3,FALSE)</f>
        <v>34000</v>
      </c>
      <c r="F18" s="11" t="str">
        <f>VLOOKUP(B18,karyawan!B:E,4,FALSE)</f>
        <v>Florida</v>
      </c>
      <c r="G18" s="12">
        <v>5</v>
      </c>
      <c r="H18" s="12"/>
      <c r="I18" s="13">
        <v>5</v>
      </c>
      <c r="J18" s="13">
        <v>5</v>
      </c>
      <c r="K18" s="14">
        <f t="shared" si="0"/>
        <v>1</v>
      </c>
      <c r="L18" s="13">
        <v>4</v>
      </c>
      <c r="M18" s="13">
        <f t="shared" si="2"/>
        <v>1</v>
      </c>
      <c r="N18" s="15">
        <f t="shared" si="1"/>
        <v>35000</v>
      </c>
    </row>
    <row r="19" spans="1:14" ht="15" thickBot="1" x14ac:dyDescent="0.35">
      <c r="A19" s="9">
        <v>46142</v>
      </c>
      <c r="B19" s="10" t="s">
        <v>13</v>
      </c>
      <c r="C19" s="13">
        <v>8</v>
      </c>
      <c r="D19" s="11">
        <f>VLOOKUP(B19,[1]lantai9!$B:$G,6,FALSE)</f>
        <v>23000</v>
      </c>
      <c r="E19" s="11">
        <f>VLOOKUP(B19,karyawan!B:D,3,FALSE)</f>
        <v>22000</v>
      </c>
      <c r="F19" s="11" t="str">
        <f>VLOOKUP(B19,karyawan!B:E,4,FALSE)</f>
        <v>Yohannes</v>
      </c>
      <c r="G19" s="12">
        <v>6</v>
      </c>
      <c r="H19" s="12"/>
      <c r="I19" s="13">
        <v>6</v>
      </c>
      <c r="J19" s="13">
        <v>0</v>
      </c>
      <c r="K19" s="14">
        <f t="shared" si="0"/>
        <v>6</v>
      </c>
      <c r="L19" s="13">
        <v>0</v>
      </c>
      <c r="M19" s="13">
        <f t="shared" si="2"/>
        <v>6</v>
      </c>
      <c r="N19" s="15">
        <f t="shared" si="1"/>
        <v>138000</v>
      </c>
    </row>
    <row r="20" spans="1:14" ht="15" thickBot="1" x14ac:dyDescent="0.35">
      <c r="A20" s="9">
        <v>46142</v>
      </c>
      <c r="B20" s="10" t="s">
        <v>14</v>
      </c>
      <c r="C20" s="13">
        <v>8</v>
      </c>
      <c r="D20" s="11">
        <f>VLOOKUP(B20,[1]lantai9!$B:$G,6,FALSE)</f>
        <v>21000</v>
      </c>
      <c r="E20" s="11">
        <f>VLOOKUP(B20,karyawan!B:D,3,FALSE)</f>
        <v>20000</v>
      </c>
      <c r="F20" s="11" t="str">
        <f>VLOOKUP(B20,karyawan!B:E,4,FALSE)</f>
        <v>Damaz</v>
      </c>
      <c r="G20" s="12">
        <v>2</v>
      </c>
      <c r="H20" s="12"/>
      <c r="I20" s="13">
        <v>2</v>
      </c>
      <c r="J20" s="13">
        <v>1</v>
      </c>
      <c r="K20" s="14">
        <f t="shared" si="0"/>
        <v>1</v>
      </c>
      <c r="L20" s="13">
        <v>1</v>
      </c>
      <c r="M20" s="13">
        <f t="shared" si="2"/>
        <v>1</v>
      </c>
      <c r="N20" s="15">
        <f t="shared" si="1"/>
        <v>21000</v>
      </c>
    </row>
    <row r="21" spans="1:14" ht="15" thickBot="1" x14ac:dyDescent="0.35">
      <c r="A21" s="9">
        <v>46142</v>
      </c>
      <c r="B21" s="10" t="s">
        <v>15</v>
      </c>
      <c r="C21" s="13">
        <v>8</v>
      </c>
      <c r="D21" s="11">
        <f>VLOOKUP(B21,[1]lantai9!$B:$G,6,FALSE)</f>
        <v>36000</v>
      </c>
      <c r="E21" s="11">
        <f>VLOOKUP(B21,karyawan!B:D,3,FALSE)</f>
        <v>35000</v>
      </c>
      <c r="F21" s="11" t="str">
        <f>VLOOKUP(B21,karyawan!B:E,4,FALSE)</f>
        <v>Damaz</v>
      </c>
      <c r="G21" s="12">
        <v>3</v>
      </c>
      <c r="H21" s="12"/>
      <c r="I21" s="13">
        <v>3</v>
      </c>
      <c r="J21" s="13">
        <v>3</v>
      </c>
      <c r="K21" s="14">
        <f t="shared" si="0"/>
        <v>1</v>
      </c>
      <c r="L21" s="13">
        <v>2</v>
      </c>
      <c r="M21" s="13">
        <f t="shared" si="2"/>
        <v>1</v>
      </c>
      <c r="N21" s="15">
        <f t="shared" si="1"/>
        <v>36000</v>
      </c>
    </row>
    <row r="22" spans="1:14" ht="15" thickBot="1" x14ac:dyDescent="0.35">
      <c r="A22" s="9">
        <v>46142</v>
      </c>
      <c r="B22" s="10" t="s">
        <v>16</v>
      </c>
      <c r="C22" s="13">
        <v>8</v>
      </c>
      <c r="D22" s="11">
        <f>VLOOKUP(B22,[1]lantai9!$B:$G,6,FALSE)</f>
        <v>23000</v>
      </c>
      <c r="E22" s="11">
        <f>VLOOKUP(B22,karyawan!B:D,3,FALSE)</f>
        <v>22000</v>
      </c>
      <c r="F22" s="11" t="str">
        <f>VLOOKUP(B22,karyawan!B:E,4,FALSE)</f>
        <v>Vale</v>
      </c>
      <c r="G22" s="12">
        <v>5</v>
      </c>
      <c r="H22" s="12"/>
      <c r="I22" s="13">
        <v>5</v>
      </c>
      <c r="J22" s="13">
        <v>1</v>
      </c>
      <c r="K22" s="14">
        <f t="shared" si="0"/>
        <v>5</v>
      </c>
      <c r="L22" s="13">
        <v>0</v>
      </c>
      <c r="M22" s="13">
        <f t="shared" si="2"/>
        <v>5</v>
      </c>
      <c r="N22" s="15">
        <f t="shared" si="1"/>
        <v>115000</v>
      </c>
    </row>
    <row r="23" spans="1:14" ht="15" thickBot="1" x14ac:dyDescent="0.35">
      <c r="A23" s="9">
        <v>46142</v>
      </c>
      <c r="B23" s="10" t="s">
        <v>17</v>
      </c>
      <c r="C23" s="13">
        <v>8</v>
      </c>
      <c r="D23" s="11">
        <f>VLOOKUP(B23,[1]lantai9!$B:$G,6,FALSE)</f>
        <v>15000</v>
      </c>
      <c r="E23" s="11">
        <f>VLOOKUP(B23,karyawan!B:D,3,FALSE)</f>
        <v>14000</v>
      </c>
      <c r="F23" s="11" t="str">
        <f>VLOOKUP(B23,karyawan!B:E,4,FALSE)</f>
        <v>Desy</v>
      </c>
      <c r="G23" s="12">
        <v>6</v>
      </c>
      <c r="H23" s="12"/>
      <c r="I23" s="13">
        <v>6</v>
      </c>
      <c r="J23" s="13">
        <v>4</v>
      </c>
      <c r="K23" s="14">
        <f t="shared" si="0"/>
        <v>4</v>
      </c>
      <c r="L23" s="13">
        <v>2</v>
      </c>
      <c r="M23" s="13">
        <f t="shared" si="2"/>
        <v>4</v>
      </c>
      <c r="N23" s="15">
        <f t="shared" si="1"/>
        <v>60000</v>
      </c>
    </row>
    <row r="24" spans="1:14" ht="15" thickBot="1" x14ac:dyDescent="0.35">
      <c r="A24" s="9">
        <v>46142</v>
      </c>
      <c r="B24" s="10" t="s">
        <v>18</v>
      </c>
      <c r="C24" s="13">
        <v>8</v>
      </c>
      <c r="D24" s="11">
        <f>VLOOKUP(B24,[1]lantai9!$B:$G,6,FALSE)</f>
        <v>18000</v>
      </c>
      <c r="E24" s="11">
        <f>VLOOKUP(B24,karyawan!B:D,3,FALSE)</f>
        <v>17000</v>
      </c>
      <c r="F24" s="11" t="str">
        <f>VLOOKUP(B24,karyawan!B:E,4,FALSE)</f>
        <v>Geby</v>
      </c>
      <c r="G24" s="12">
        <v>6</v>
      </c>
      <c r="H24" s="12"/>
      <c r="I24" s="13">
        <v>6</v>
      </c>
      <c r="J24" s="13">
        <v>3</v>
      </c>
      <c r="K24" s="14">
        <f t="shared" si="0"/>
        <v>4</v>
      </c>
      <c r="L24" s="13">
        <v>2</v>
      </c>
      <c r="M24" s="13">
        <f t="shared" si="2"/>
        <v>4</v>
      </c>
      <c r="N24" s="15">
        <f t="shared" si="1"/>
        <v>72000</v>
      </c>
    </row>
    <row r="25" spans="1:14" ht="15" thickBot="1" x14ac:dyDescent="0.35">
      <c r="A25" s="9">
        <v>46142</v>
      </c>
      <c r="B25" s="10" t="s">
        <v>19</v>
      </c>
      <c r="C25" s="13">
        <v>8</v>
      </c>
      <c r="D25" s="11">
        <f>VLOOKUP(B25,[1]lantai9!$B:$G,6,FALSE)</f>
        <v>21000</v>
      </c>
      <c r="E25" s="11">
        <f>VLOOKUP(B25,karyawan!B:D,3,FALSE)</f>
        <v>20000</v>
      </c>
      <c r="F25" s="11" t="str">
        <f>VLOOKUP(B25,karyawan!B:E,4,FALSE)</f>
        <v>Geby</v>
      </c>
      <c r="G25" s="12">
        <v>2</v>
      </c>
      <c r="H25" s="12"/>
      <c r="I25" s="13">
        <v>2</v>
      </c>
      <c r="J25" s="13">
        <v>0</v>
      </c>
      <c r="K25" s="14">
        <f t="shared" si="0"/>
        <v>2</v>
      </c>
      <c r="L25" s="13">
        <v>0</v>
      </c>
      <c r="M25" s="13">
        <f t="shared" si="2"/>
        <v>2</v>
      </c>
      <c r="N25" s="15">
        <f t="shared" si="1"/>
        <v>42000</v>
      </c>
    </row>
    <row r="26" spans="1:14" ht="15" thickBot="1" x14ac:dyDescent="0.35">
      <c r="A26" s="9">
        <v>46142</v>
      </c>
      <c r="B26" s="10" t="s">
        <v>20</v>
      </c>
      <c r="C26" s="13">
        <v>8</v>
      </c>
      <c r="D26" s="11">
        <f>VLOOKUP(B26,[1]lantai9!$B:$G,6,FALSE)</f>
        <v>35000</v>
      </c>
      <c r="E26" s="11">
        <f>VLOOKUP(B26,karyawan!B:D,3,FALSE)</f>
        <v>34000</v>
      </c>
      <c r="F26" s="11" t="str">
        <f>VLOOKUP(B26,karyawan!B:E,4,FALSE)</f>
        <v>Sherly</v>
      </c>
      <c r="G26" s="12">
        <v>2</v>
      </c>
      <c r="H26" s="12"/>
      <c r="I26" s="13">
        <v>2</v>
      </c>
      <c r="J26" s="13">
        <v>1</v>
      </c>
      <c r="K26" s="14">
        <f t="shared" si="0"/>
        <v>1</v>
      </c>
      <c r="L26" s="13">
        <v>1</v>
      </c>
      <c r="M26" s="13">
        <f t="shared" si="2"/>
        <v>1</v>
      </c>
      <c r="N26" s="15">
        <f t="shared" si="1"/>
        <v>35000</v>
      </c>
    </row>
    <row r="27" spans="1:14" ht="15" thickBot="1" x14ac:dyDescent="0.35">
      <c r="A27" s="9">
        <v>46142</v>
      </c>
      <c r="B27" s="10" t="s">
        <v>21</v>
      </c>
      <c r="C27" s="13">
        <v>8</v>
      </c>
      <c r="D27" s="11">
        <f>VLOOKUP(B27,[1]lantai9!$B:$G,6,FALSE)</f>
        <v>40000</v>
      </c>
      <c r="E27" s="11">
        <f>VLOOKUP(B27,karyawan!B:D,3,FALSE)</f>
        <v>39000</v>
      </c>
      <c r="F27" s="11" t="str">
        <f>VLOOKUP(B27,karyawan!B:E,4,FALSE)</f>
        <v>Sherly</v>
      </c>
      <c r="G27" s="12">
        <v>4</v>
      </c>
      <c r="H27" s="12"/>
      <c r="I27" s="12">
        <v>4</v>
      </c>
      <c r="J27" s="13">
        <v>4</v>
      </c>
      <c r="K27" s="14">
        <f t="shared" si="0"/>
        <v>1</v>
      </c>
      <c r="L27" s="13">
        <v>3</v>
      </c>
      <c r="M27" s="13">
        <f t="shared" si="2"/>
        <v>1</v>
      </c>
      <c r="N27" s="15">
        <f t="shared" si="1"/>
        <v>40000</v>
      </c>
    </row>
    <row r="28" spans="1:14" ht="15" thickBot="1" x14ac:dyDescent="0.35">
      <c r="A28" s="9">
        <v>46142</v>
      </c>
      <c r="B28" s="10" t="s">
        <v>22</v>
      </c>
      <c r="C28" s="13">
        <v>8</v>
      </c>
      <c r="D28" s="11">
        <f>VLOOKUP(B28,[1]lantai9!$B:$G,6,FALSE)</f>
        <v>2500</v>
      </c>
      <c r="E28" s="11">
        <f>VLOOKUP(B28,karyawan!B:D,3,FALSE)</f>
        <v>1480</v>
      </c>
      <c r="F28" s="11" t="str">
        <f>VLOOKUP(B28,karyawan!B:E,4,FALSE)</f>
        <v>Compliance</v>
      </c>
      <c r="G28" s="12">
        <v>12</v>
      </c>
      <c r="H28" s="12"/>
      <c r="I28" s="13">
        <v>12</v>
      </c>
      <c r="J28" s="13">
        <v>10</v>
      </c>
      <c r="K28" s="14">
        <f t="shared" si="0"/>
        <v>2</v>
      </c>
      <c r="L28" s="13">
        <v>10</v>
      </c>
      <c r="M28" s="13">
        <f t="shared" si="2"/>
        <v>2</v>
      </c>
      <c r="N28" s="15">
        <f t="shared" si="1"/>
        <v>5000</v>
      </c>
    </row>
    <row r="29" spans="1:14" ht="15" thickBot="1" x14ac:dyDescent="0.35">
      <c r="A29" s="9">
        <v>46142</v>
      </c>
      <c r="B29" s="10" t="s">
        <v>23</v>
      </c>
      <c r="C29" s="13">
        <v>8</v>
      </c>
      <c r="D29" s="11">
        <f>VLOOKUP(B29,[1]lantai9!$B:$G,6,FALSE)</f>
        <v>2000</v>
      </c>
      <c r="E29" s="11">
        <f>VLOOKUP(B29,karyawan!B:D,3,FALSE)</f>
        <v>1074</v>
      </c>
      <c r="F29" s="11" t="str">
        <f>VLOOKUP(B29,karyawan!B:E,4,FALSE)</f>
        <v>Compliance</v>
      </c>
      <c r="G29" s="12">
        <v>10</v>
      </c>
      <c r="H29" s="12"/>
      <c r="I29" s="13">
        <v>10</v>
      </c>
      <c r="J29" s="13">
        <v>-5</v>
      </c>
      <c r="K29" s="14">
        <f t="shared" si="0"/>
        <v>9</v>
      </c>
      <c r="L29" s="13">
        <v>1</v>
      </c>
      <c r="M29" s="13">
        <f t="shared" si="2"/>
        <v>9</v>
      </c>
      <c r="N29" s="15">
        <f t="shared" si="1"/>
        <v>18000</v>
      </c>
    </row>
    <row r="30" spans="1:14" ht="15" thickBot="1" x14ac:dyDescent="0.35">
      <c r="A30" s="9">
        <v>46142</v>
      </c>
      <c r="B30" s="10" t="s">
        <v>24</v>
      </c>
      <c r="C30" s="13">
        <v>8</v>
      </c>
      <c r="D30" s="11">
        <f>VLOOKUP(B30,[1]lantai9!$B:$G,6,FALSE)</f>
        <v>2500</v>
      </c>
      <c r="E30" s="11">
        <f>VLOOKUP(B30,karyawan!B:D,3,FALSE)</f>
        <v>1465</v>
      </c>
      <c r="F30" s="11" t="str">
        <f>VLOOKUP(B30,karyawan!B:E,4,FALSE)</f>
        <v>Compliance</v>
      </c>
      <c r="G30" s="12">
        <v>10</v>
      </c>
      <c r="H30" s="12"/>
      <c r="I30" s="13">
        <v>10</v>
      </c>
      <c r="J30" s="13">
        <v>2</v>
      </c>
      <c r="K30" s="14">
        <f t="shared" si="0"/>
        <v>8</v>
      </c>
      <c r="L30" s="13">
        <v>2</v>
      </c>
      <c r="M30" s="13">
        <f t="shared" si="2"/>
        <v>8</v>
      </c>
      <c r="N30" s="15">
        <f t="shared" si="1"/>
        <v>20000</v>
      </c>
    </row>
    <row r="31" spans="1:14" ht="15" thickBot="1" x14ac:dyDescent="0.35">
      <c r="A31" s="9">
        <v>46142</v>
      </c>
      <c r="B31" s="10" t="s">
        <v>25</v>
      </c>
      <c r="C31" s="13">
        <v>8</v>
      </c>
      <c r="D31" s="11">
        <f>VLOOKUP(B31,[1]lantai9!$B:$G,6,FALSE)</f>
        <v>10000</v>
      </c>
      <c r="E31" s="11">
        <f>VLOOKUP(B31,karyawan!B:D,3,FALSE)</f>
        <v>9200</v>
      </c>
      <c r="F31" s="11" t="str">
        <f>VLOOKUP(B31,karyawan!B:E,4,FALSE)</f>
        <v>Compliance</v>
      </c>
      <c r="G31" s="12">
        <v>15</v>
      </c>
      <c r="H31" s="12"/>
      <c r="I31" s="13">
        <v>15</v>
      </c>
      <c r="J31" s="13">
        <v>0</v>
      </c>
      <c r="K31" s="14">
        <f t="shared" si="0"/>
        <v>0</v>
      </c>
      <c r="L31" s="12">
        <v>15</v>
      </c>
      <c r="M31" s="13">
        <f t="shared" si="2"/>
        <v>0</v>
      </c>
      <c r="N31" s="15">
        <f t="shared" si="1"/>
        <v>0</v>
      </c>
    </row>
    <row r="32" spans="1:14" ht="15" thickBot="1" x14ac:dyDescent="0.35">
      <c r="A32" s="9">
        <v>46142</v>
      </c>
      <c r="B32" s="10" t="s">
        <v>26</v>
      </c>
      <c r="C32" s="13">
        <v>8</v>
      </c>
      <c r="D32" s="11">
        <f>VLOOKUP(B32,[1]lantai9!$B:$G,6,FALSE)</f>
        <v>15000</v>
      </c>
      <c r="E32" s="11">
        <f>VLOOKUP(B32,karyawan!B:D,3,FALSE)</f>
        <v>13807</v>
      </c>
      <c r="F32" s="11" t="str">
        <f>VLOOKUP(B32,karyawan!B:E,4,FALSE)</f>
        <v>Compliance</v>
      </c>
      <c r="G32" s="12">
        <v>10</v>
      </c>
      <c r="H32" s="12"/>
      <c r="I32" s="13">
        <v>10</v>
      </c>
      <c r="J32" s="13">
        <v>2</v>
      </c>
      <c r="K32" s="14">
        <f t="shared" si="0"/>
        <v>9</v>
      </c>
      <c r="L32" s="13">
        <v>1</v>
      </c>
      <c r="M32" s="13">
        <f t="shared" si="2"/>
        <v>9</v>
      </c>
      <c r="N32" s="15">
        <f t="shared" si="1"/>
        <v>135000</v>
      </c>
    </row>
    <row r="33" spans="1:14" ht="15" thickBot="1" x14ac:dyDescent="0.35">
      <c r="A33" s="9">
        <v>46142</v>
      </c>
      <c r="B33" s="10" t="s">
        <v>27</v>
      </c>
      <c r="C33" s="13">
        <v>8</v>
      </c>
      <c r="D33" s="11">
        <f>VLOOKUP(B33,[1]lantai9!$B:$G,6,FALSE)</f>
        <v>23000</v>
      </c>
      <c r="E33" s="11">
        <f>VLOOKUP(B33,karyawan!B:D,3,FALSE)</f>
        <v>21760</v>
      </c>
      <c r="F33" s="11" t="str">
        <f>VLOOKUP(B33,karyawan!B:E,4,FALSE)</f>
        <v>Compliance</v>
      </c>
      <c r="G33" s="12">
        <v>7</v>
      </c>
      <c r="H33" s="12"/>
      <c r="I33" s="13">
        <v>7</v>
      </c>
      <c r="J33" s="13">
        <v>6</v>
      </c>
      <c r="K33" s="14">
        <f t="shared" si="0"/>
        <v>2</v>
      </c>
      <c r="L33" s="13">
        <v>5</v>
      </c>
      <c r="M33" s="13">
        <f t="shared" si="2"/>
        <v>2</v>
      </c>
      <c r="N33" s="15">
        <f t="shared" si="1"/>
        <v>46000</v>
      </c>
    </row>
    <row r="34" spans="1:14" ht="15" thickBot="1" x14ac:dyDescent="0.35">
      <c r="A34" s="9">
        <v>46142</v>
      </c>
      <c r="B34" s="10" t="s">
        <v>12</v>
      </c>
      <c r="C34" s="13">
        <v>9</v>
      </c>
      <c r="D34" s="11">
        <f>VLOOKUP(B34,[1]lantai9!$B:$G,6,FALSE)</f>
        <v>35000</v>
      </c>
      <c r="E34" s="11">
        <f>VLOOKUP(B34,karyawan!B:D,3,FALSE)</f>
        <v>34000</v>
      </c>
      <c r="F34" s="11" t="str">
        <f>VLOOKUP(B34,karyawan!B:E,4,FALSE)</f>
        <v>Florida</v>
      </c>
      <c r="G34" s="12">
        <v>5</v>
      </c>
      <c r="H34" s="12"/>
      <c r="I34" s="13">
        <v>5</v>
      </c>
      <c r="J34" s="13">
        <v>0</v>
      </c>
      <c r="K34" s="14">
        <f t="shared" si="0"/>
        <v>5</v>
      </c>
      <c r="L34" s="13">
        <v>0</v>
      </c>
      <c r="M34" s="13">
        <f t="shared" si="2"/>
        <v>5</v>
      </c>
      <c r="N34" s="15">
        <f t="shared" si="1"/>
        <v>175000</v>
      </c>
    </row>
    <row r="35" spans="1:14" ht="15" thickBot="1" x14ac:dyDescent="0.35">
      <c r="A35" s="9">
        <v>46142</v>
      </c>
      <c r="B35" s="10" t="s">
        <v>13</v>
      </c>
      <c r="C35" s="13">
        <v>9</v>
      </c>
      <c r="D35" s="11">
        <f>VLOOKUP(B35,[1]lantai9!$B:$G,6,FALSE)</f>
        <v>23000</v>
      </c>
      <c r="E35" s="11">
        <f>VLOOKUP(B35,karyawan!B:D,3,FALSE)</f>
        <v>22000</v>
      </c>
      <c r="F35" s="11" t="str">
        <f>VLOOKUP(B35,karyawan!B:E,4,FALSE)</f>
        <v>Yohannes</v>
      </c>
      <c r="G35" s="12">
        <v>6</v>
      </c>
      <c r="H35" s="12"/>
      <c r="I35" s="13">
        <v>6</v>
      </c>
      <c r="J35" s="13">
        <v>1</v>
      </c>
      <c r="K35" s="14">
        <f t="shared" si="0"/>
        <v>5</v>
      </c>
      <c r="L35" s="13">
        <v>1</v>
      </c>
      <c r="M35" s="13">
        <f t="shared" si="2"/>
        <v>5</v>
      </c>
      <c r="N35" s="15">
        <f t="shared" si="1"/>
        <v>115000</v>
      </c>
    </row>
    <row r="36" spans="1:14" ht="15" thickBot="1" x14ac:dyDescent="0.35">
      <c r="A36" s="9">
        <v>46142</v>
      </c>
      <c r="B36" s="10" t="s">
        <v>14</v>
      </c>
      <c r="C36" s="13">
        <v>9</v>
      </c>
      <c r="D36" s="11">
        <f>VLOOKUP(B36,[1]lantai9!$B:$G,6,FALSE)</f>
        <v>21000</v>
      </c>
      <c r="E36" s="11">
        <f>VLOOKUP(B36,karyawan!B:D,3,FALSE)</f>
        <v>20000</v>
      </c>
      <c r="F36" s="11" t="str">
        <f>VLOOKUP(B36,karyawan!B:E,4,FALSE)</f>
        <v>Damaz</v>
      </c>
      <c r="G36" s="12">
        <v>2</v>
      </c>
      <c r="H36" s="12"/>
      <c r="I36" s="13">
        <v>2</v>
      </c>
      <c r="J36" s="13">
        <v>2</v>
      </c>
      <c r="K36" s="14">
        <f t="shared" si="0"/>
        <v>0</v>
      </c>
      <c r="L36" s="13">
        <v>2</v>
      </c>
      <c r="M36" s="13">
        <f t="shared" si="2"/>
        <v>0</v>
      </c>
      <c r="N36" s="15">
        <f t="shared" si="1"/>
        <v>0</v>
      </c>
    </row>
    <row r="37" spans="1:14" ht="15" thickBot="1" x14ac:dyDescent="0.35">
      <c r="A37" s="9">
        <v>46142</v>
      </c>
      <c r="B37" s="10" t="s">
        <v>15</v>
      </c>
      <c r="C37" s="13">
        <v>9</v>
      </c>
      <c r="D37" s="11">
        <f>VLOOKUP(B37,[1]lantai9!$B:$G,6,FALSE)</f>
        <v>36000</v>
      </c>
      <c r="E37" s="11">
        <f>VLOOKUP(B37,karyawan!B:D,3,FALSE)</f>
        <v>35000</v>
      </c>
      <c r="F37" s="11" t="str">
        <f>VLOOKUP(B37,karyawan!B:E,4,FALSE)</f>
        <v>Damaz</v>
      </c>
      <c r="G37" s="12">
        <v>3</v>
      </c>
      <c r="H37" s="12"/>
      <c r="I37" s="13">
        <v>3</v>
      </c>
      <c r="J37" s="13">
        <v>1</v>
      </c>
      <c r="K37" s="14">
        <f t="shared" si="0"/>
        <v>2</v>
      </c>
      <c r="L37" s="13">
        <v>1</v>
      </c>
      <c r="M37" s="13">
        <f t="shared" si="2"/>
        <v>2</v>
      </c>
      <c r="N37" s="15">
        <f t="shared" si="1"/>
        <v>72000</v>
      </c>
    </row>
    <row r="38" spans="1:14" ht="15" thickBot="1" x14ac:dyDescent="0.35">
      <c r="A38" s="9">
        <v>46142</v>
      </c>
      <c r="B38" s="10" t="s">
        <v>16</v>
      </c>
      <c r="C38" s="13">
        <v>9</v>
      </c>
      <c r="D38" s="11">
        <f>VLOOKUP(B38,[1]lantai9!$B:$G,6,FALSE)</f>
        <v>23000</v>
      </c>
      <c r="E38" s="11">
        <f>VLOOKUP(B38,karyawan!B:D,3,FALSE)</f>
        <v>22000</v>
      </c>
      <c r="F38" s="11" t="str">
        <f>VLOOKUP(B38,karyawan!B:E,4,FALSE)</f>
        <v>Vale</v>
      </c>
      <c r="G38" s="12">
        <v>5</v>
      </c>
      <c r="H38" s="12"/>
      <c r="I38" s="13">
        <v>5</v>
      </c>
      <c r="J38" s="13">
        <v>0</v>
      </c>
      <c r="K38" s="14">
        <f t="shared" si="0"/>
        <v>5</v>
      </c>
      <c r="L38" s="13">
        <v>0</v>
      </c>
      <c r="M38" s="13">
        <f t="shared" si="2"/>
        <v>5</v>
      </c>
      <c r="N38" s="15">
        <f t="shared" si="1"/>
        <v>115000</v>
      </c>
    </row>
    <row r="39" spans="1:14" ht="15" thickBot="1" x14ac:dyDescent="0.35">
      <c r="A39" s="9">
        <v>46142</v>
      </c>
      <c r="B39" s="10" t="s">
        <v>17</v>
      </c>
      <c r="C39" s="13">
        <v>9</v>
      </c>
      <c r="D39" s="11">
        <f>VLOOKUP(B39,[1]lantai9!$B:$G,6,FALSE)</f>
        <v>15000</v>
      </c>
      <c r="E39" s="11">
        <f>VLOOKUP(B39,karyawan!B:D,3,FALSE)</f>
        <v>14000</v>
      </c>
      <c r="F39" s="11" t="str">
        <f>VLOOKUP(B39,karyawan!B:E,4,FALSE)</f>
        <v>Desy</v>
      </c>
      <c r="G39" s="12">
        <v>6</v>
      </c>
      <c r="H39" s="12"/>
      <c r="I39" s="13">
        <v>6</v>
      </c>
      <c r="J39" s="13">
        <v>3</v>
      </c>
      <c r="K39" s="14">
        <f t="shared" si="0"/>
        <v>3</v>
      </c>
      <c r="L39" s="13">
        <v>3</v>
      </c>
      <c r="M39" s="13">
        <f t="shared" si="2"/>
        <v>3</v>
      </c>
      <c r="N39" s="15">
        <f t="shared" si="1"/>
        <v>45000</v>
      </c>
    </row>
    <row r="40" spans="1:14" ht="15" thickBot="1" x14ac:dyDescent="0.35">
      <c r="A40" s="9">
        <v>46142</v>
      </c>
      <c r="B40" s="10" t="s">
        <v>18</v>
      </c>
      <c r="C40" s="13">
        <v>9</v>
      </c>
      <c r="D40" s="11">
        <f>VLOOKUP(B40,[1]lantai9!$B:$G,6,FALSE)</f>
        <v>18000</v>
      </c>
      <c r="E40" s="11">
        <f>VLOOKUP(B40,karyawan!B:D,3,FALSE)</f>
        <v>17000</v>
      </c>
      <c r="F40" s="11" t="str">
        <f>VLOOKUP(B40,karyawan!B:E,4,FALSE)</f>
        <v>Geby</v>
      </c>
      <c r="G40" s="12">
        <v>6</v>
      </c>
      <c r="H40" s="12"/>
      <c r="I40" s="13">
        <v>6</v>
      </c>
      <c r="J40" s="13">
        <v>4</v>
      </c>
      <c r="K40" s="14">
        <f t="shared" si="0"/>
        <v>2</v>
      </c>
      <c r="L40" s="13">
        <v>4</v>
      </c>
      <c r="M40" s="13">
        <f t="shared" si="2"/>
        <v>2</v>
      </c>
      <c r="N40" s="15">
        <f t="shared" si="1"/>
        <v>36000</v>
      </c>
    </row>
    <row r="41" spans="1:14" ht="15" thickBot="1" x14ac:dyDescent="0.35">
      <c r="A41" s="9">
        <v>46142</v>
      </c>
      <c r="B41" s="10" t="s">
        <v>19</v>
      </c>
      <c r="C41" s="13">
        <v>9</v>
      </c>
      <c r="D41" s="11">
        <f>VLOOKUP(B41,[1]lantai9!$B:$G,6,FALSE)</f>
        <v>21000</v>
      </c>
      <c r="E41" s="11">
        <f>VLOOKUP(B41,karyawan!B:D,3,FALSE)</f>
        <v>20000</v>
      </c>
      <c r="F41" s="11" t="str">
        <f>VLOOKUP(B41,karyawan!B:E,4,FALSE)</f>
        <v>Geby</v>
      </c>
      <c r="G41" s="12">
        <v>2</v>
      </c>
      <c r="H41" s="12"/>
      <c r="I41" s="13">
        <v>2</v>
      </c>
      <c r="J41" s="13">
        <v>0</v>
      </c>
      <c r="K41" s="14">
        <f t="shared" si="0"/>
        <v>2</v>
      </c>
      <c r="L41" s="13">
        <v>0</v>
      </c>
      <c r="M41" s="13">
        <f t="shared" si="2"/>
        <v>2</v>
      </c>
      <c r="N41" s="15">
        <f t="shared" si="1"/>
        <v>42000</v>
      </c>
    </row>
    <row r="42" spans="1:14" ht="15" thickBot="1" x14ac:dyDescent="0.35">
      <c r="A42" s="9">
        <v>46142</v>
      </c>
      <c r="B42" s="10" t="s">
        <v>20</v>
      </c>
      <c r="C42" s="13">
        <v>9</v>
      </c>
      <c r="D42" s="11">
        <f>VLOOKUP(B42,[1]lantai9!$B:$G,6,FALSE)</f>
        <v>35000</v>
      </c>
      <c r="E42" s="11">
        <f>VLOOKUP(B42,karyawan!B:D,3,FALSE)</f>
        <v>34000</v>
      </c>
      <c r="F42" s="11" t="str">
        <f>VLOOKUP(B42,karyawan!B:E,4,FALSE)</f>
        <v>Sherly</v>
      </c>
      <c r="G42" s="12">
        <v>2</v>
      </c>
      <c r="H42" s="12"/>
      <c r="I42" s="13">
        <v>2</v>
      </c>
      <c r="J42" s="13">
        <v>0</v>
      </c>
      <c r="K42" s="14">
        <f t="shared" si="0"/>
        <v>2</v>
      </c>
      <c r="L42" s="13">
        <v>0</v>
      </c>
      <c r="M42" s="13">
        <f t="shared" si="2"/>
        <v>2</v>
      </c>
      <c r="N42" s="15">
        <f t="shared" si="1"/>
        <v>70000</v>
      </c>
    </row>
    <row r="43" spans="1:14" ht="15" thickBot="1" x14ac:dyDescent="0.35">
      <c r="A43" s="9">
        <v>46142</v>
      </c>
      <c r="B43" s="10" t="s">
        <v>21</v>
      </c>
      <c r="C43" s="13">
        <v>9</v>
      </c>
      <c r="D43" s="11">
        <f>VLOOKUP(B43,[1]lantai9!$B:$G,6,FALSE)</f>
        <v>40000</v>
      </c>
      <c r="E43" s="11">
        <f>VLOOKUP(B43,karyawan!B:D,3,FALSE)</f>
        <v>39000</v>
      </c>
      <c r="F43" s="11" t="str">
        <f>VLOOKUP(B43,karyawan!B:E,4,FALSE)</f>
        <v>Sherly</v>
      </c>
      <c r="G43" s="12">
        <v>4</v>
      </c>
      <c r="H43" s="12"/>
      <c r="I43" s="13">
        <v>3</v>
      </c>
      <c r="J43" s="13">
        <v>3</v>
      </c>
      <c r="K43" s="14">
        <f t="shared" si="0"/>
        <v>1</v>
      </c>
      <c r="L43" s="13">
        <v>3</v>
      </c>
      <c r="M43" s="13">
        <f t="shared" si="2"/>
        <v>0</v>
      </c>
      <c r="N43" s="15">
        <f t="shared" si="1"/>
        <v>0</v>
      </c>
    </row>
    <row r="44" spans="1:14" ht="15" thickBot="1" x14ac:dyDescent="0.35">
      <c r="A44" s="9">
        <v>46142</v>
      </c>
      <c r="B44" s="10" t="s">
        <v>22</v>
      </c>
      <c r="C44" s="13">
        <v>9</v>
      </c>
      <c r="D44" s="11">
        <f>VLOOKUP(B44,[1]lantai9!$B:$G,6,FALSE)</f>
        <v>2500</v>
      </c>
      <c r="E44" s="11">
        <f>VLOOKUP(B44,karyawan!B:D,3,FALSE)</f>
        <v>1480</v>
      </c>
      <c r="F44" s="11" t="str">
        <f>VLOOKUP(B44,karyawan!B:E,4,FALSE)</f>
        <v>Compliance</v>
      </c>
      <c r="G44" s="12">
        <v>12</v>
      </c>
      <c r="H44" s="12"/>
      <c r="I44" s="13">
        <v>12</v>
      </c>
      <c r="J44" s="13">
        <v>4</v>
      </c>
      <c r="K44" s="14">
        <f t="shared" si="0"/>
        <v>1</v>
      </c>
      <c r="L44" s="13">
        <v>11</v>
      </c>
      <c r="M44" s="13">
        <f t="shared" si="2"/>
        <v>1</v>
      </c>
      <c r="N44" s="15">
        <f t="shared" si="1"/>
        <v>2500</v>
      </c>
    </row>
    <row r="45" spans="1:14" ht="15" thickBot="1" x14ac:dyDescent="0.35">
      <c r="A45" s="9">
        <v>46142</v>
      </c>
      <c r="B45" s="10" t="s">
        <v>23</v>
      </c>
      <c r="C45" s="13">
        <v>9</v>
      </c>
      <c r="D45" s="11">
        <f>VLOOKUP(B45,[1]lantai9!$B:$G,6,FALSE)</f>
        <v>2000</v>
      </c>
      <c r="E45" s="11">
        <f>VLOOKUP(B45,karyawan!B:D,3,FALSE)</f>
        <v>1074</v>
      </c>
      <c r="F45" s="11" t="str">
        <f>VLOOKUP(B45,karyawan!B:E,4,FALSE)</f>
        <v>Compliance</v>
      </c>
      <c r="G45" s="12">
        <v>10</v>
      </c>
      <c r="H45" s="12"/>
      <c r="I45" s="13">
        <v>10</v>
      </c>
      <c r="J45" s="13">
        <v>2</v>
      </c>
      <c r="K45" s="14">
        <f t="shared" si="0"/>
        <v>8</v>
      </c>
      <c r="L45" s="13">
        <v>2</v>
      </c>
      <c r="M45" s="13">
        <f t="shared" si="2"/>
        <v>8</v>
      </c>
      <c r="N45" s="15">
        <f t="shared" si="1"/>
        <v>16000</v>
      </c>
    </row>
    <row r="46" spans="1:14" ht="15" thickBot="1" x14ac:dyDescent="0.35">
      <c r="A46" s="9">
        <v>46142</v>
      </c>
      <c r="B46" s="10" t="s">
        <v>24</v>
      </c>
      <c r="C46" s="13">
        <v>9</v>
      </c>
      <c r="D46" s="11">
        <f>VLOOKUP(B46,[1]lantai9!$B:$G,6,FALSE)</f>
        <v>2500</v>
      </c>
      <c r="E46" s="11">
        <f>VLOOKUP(B46,karyawan!B:D,3,FALSE)</f>
        <v>1465</v>
      </c>
      <c r="F46" s="11" t="str">
        <f>VLOOKUP(B46,karyawan!B:E,4,FALSE)</f>
        <v>Compliance</v>
      </c>
      <c r="G46" s="12">
        <v>10</v>
      </c>
      <c r="H46" s="12"/>
      <c r="I46" s="13">
        <v>10</v>
      </c>
      <c r="J46" s="13">
        <v>9</v>
      </c>
      <c r="K46" s="14">
        <f t="shared" si="0"/>
        <v>1</v>
      </c>
      <c r="L46" s="13">
        <v>9</v>
      </c>
      <c r="M46" s="13">
        <f t="shared" si="2"/>
        <v>1</v>
      </c>
      <c r="N46" s="15">
        <f t="shared" si="1"/>
        <v>2500</v>
      </c>
    </row>
    <row r="47" spans="1:14" ht="15" thickBot="1" x14ac:dyDescent="0.35">
      <c r="A47" s="9">
        <v>46142</v>
      </c>
      <c r="B47" s="10" t="s">
        <v>25</v>
      </c>
      <c r="C47" s="13">
        <v>9</v>
      </c>
      <c r="D47" s="11">
        <f>VLOOKUP(B47,[1]lantai9!$B:$G,6,FALSE)</f>
        <v>10000</v>
      </c>
      <c r="E47" s="11">
        <f>VLOOKUP(B47,karyawan!B:D,3,FALSE)</f>
        <v>9200</v>
      </c>
      <c r="F47" s="11" t="str">
        <f>VLOOKUP(B47,karyawan!B:E,4,FALSE)</f>
        <v>Compliance</v>
      </c>
      <c r="G47" s="12">
        <v>15</v>
      </c>
      <c r="H47" s="12"/>
      <c r="I47" s="13">
        <v>15</v>
      </c>
      <c r="J47" s="13">
        <v>1</v>
      </c>
      <c r="K47" s="14">
        <f t="shared" si="0"/>
        <v>1</v>
      </c>
      <c r="L47" s="13">
        <v>14</v>
      </c>
      <c r="M47" s="13">
        <f t="shared" si="2"/>
        <v>1</v>
      </c>
      <c r="N47" s="15">
        <f t="shared" si="1"/>
        <v>10000</v>
      </c>
    </row>
    <row r="48" spans="1:14" ht="15" thickBot="1" x14ac:dyDescent="0.35">
      <c r="A48" s="9">
        <v>46142</v>
      </c>
      <c r="B48" s="10" t="s">
        <v>26</v>
      </c>
      <c r="C48" s="13">
        <v>9</v>
      </c>
      <c r="D48" s="11">
        <f>VLOOKUP(B48,[1]lantai9!$B:$G,6,FALSE)</f>
        <v>15000</v>
      </c>
      <c r="E48" s="11">
        <f>VLOOKUP(B48,karyawan!B:D,3,FALSE)</f>
        <v>13807</v>
      </c>
      <c r="F48" s="11" t="str">
        <f>VLOOKUP(B48,karyawan!B:E,4,FALSE)</f>
        <v>Compliance</v>
      </c>
      <c r="G48" s="12">
        <v>10</v>
      </c>
      <c r="H48" s="12"/>
      <c r="I48" s="13">
        <v>10</v>
      </c>
      <c r="J48" s="13">
        <v>2</v>
      </c>
      <c r="K48" s="14">
        <f t="shared" si="0"/>
        <v>8</v>
      </c>
      <c r="L48" s="13">
        <v>2</v>
      </c>
      <c r="M48" s="13">
        <f t="shared" si="2"/>
        <v>8</v>
      </c>
      <c r="N48" s="15">
        <f t="shared" si="1"/>
        <v>120000</v>
      </c>
    </row>
    <row r="49" spans="1:14" ht="15" thickBot="1" x14ac:dyDescent="0.35">
      <c r="A49" s="16">
        <v>46142</v>
      </c>
      <c r="B49" s="10" t="s">
        <v>27</v>
      </c>
      <c r="C49" s="13">
        <v>9</v>
      </c>
      <c r="D49" s="11">
        <f>VLOOKUP(B49,[1]lantai9!$B:$G,6,FALSE)</f>
        <v>23000</v>
      </c>
      <c r="E49" s="11">
        <f>VLOOKUP(B49,karyawan!B:D,3,FALSE)</f>
        <v>21760</v>
      </c>
      <c r="F49" s="11" t="str">
        <f>VLOOKUP(B49,karyawan!B:E,4,FALSE)</f>
        <v>Compliance</v>
      </c>
      <c r="G49" s="12">
        <v>7</v>
      </c>
      <c r="H49" s="12"/>
      <c r="I49" s="13">
        <v>7</v>
      </c>
      <c r="J49" s="13">
        <v>6</v>
      </c>
      <c r="K49" s="14">
        <f t="shared" si="0"/>
        <v>1</v>
      </c>
      <c r="L49" s="13">
        <v>6</v>
      </c>
      <c r="M49" s="13">
        <f t="shared" si="2"/>
        <v>1</v>
      </c>
      <c r="N49" s="15">
        <f t="shared" si="1"/>
        <v>23000</v>
      </c>
    </row>
    <row r="50" spans="1:14" ht="15" thickBot="1" x14ac:dyDescent="0.35">
      <c r="A50" s="16">
        <v>46146</v>
      </c>
      <c r="B50" s="10" t="s">
        <v>12</v>
      </c>
      <c r="C50" s="13">
        <v>3</v>
      </c>
      <c r="D50" s="11">
        <f>VLOOKUP(B50,[1]lantai9!$B:$G,6,FALSE)</f>
        <v>35000</v>
      </c>
      <c r="E50" s="11">
        <f>VLOOKUP(B50,karyawan!B:D,3,FALSE)</f>
        <v>34000</v>
      </c>
      <c r="F50" s="11" t="str">
        <f>VLOOKUP(B50,karyawan!B:E,4,FALSE)</f>
        <v>Florida</v>
      </c>
      <c r="G50" s="12">
        <v>5</v>
      </c>
      <c r="H50" s="12"/>
      <c r="I50" s="13">
        <v>0</v>
      </c>
      <c r="J50" s="13">
        <v>0</v>
      </c>
      <c r="K50" s="14">
        <f t="shared" si="0"/>
        <v>5</v>
      </c>
      <c r="L50" s="13">
        <v>0</v>
      </c>
      <c r="M50" s="13">
        <f t="shared" si="2"/>
        <v>0</v>
      </c>
      <c r="N50" s="15">
        <f t="shared" si="1"/>
        <v>0</v>
      </c>
    </row>
    <row r="51" spans="1:14" ht="15" thickBot="1" x14ac:dyDescent="0.35">
      <c r="A51" s="16">
        <v>46146</v>
      </c>
      <c r="B51" s="10" t="s">
        <v>13</v>
      </c>
      <c r="C51" s="13">
        <v>3</v>
      </c>
      <c r="D51" s="11">
        <f>VLOOKUP(B51,[1]lantai9!$B:$G,6,FALSE)</f>
        <v>23000</v>
      </c>
      <c r="E51" s="11">
        <f>VLOOKUP(B51,karyawan!B:D,3,FALSE)</f>
        <v>22000</v>
      </c>
      <c r="F51" s="11" t="str">
        <f>VLOOKUP(B51,karyawan!B:E,4,FALSE)</f>
        <v>Yohannes</v>
      </c>
      <c r="G51" s="12">
        <v>6</v>
      </c>
      <c r="H51" s="12"/>
      <c r="I51" s="12">
        <v>6</v>
      </c>
      <c r="J51" s="13">
        <v>3</v>
      </c>
      <c r="K51" s="14">
        <f t="shared" si="0"/>
        <v>4</v>
      </c>
      <c r="L51" s="13">
        <v>2</v>
      </c>
      <c r="M51" s="13">
        <f t="shared" si="2"/>
        <v>4</v>
      </c>
      <c r="N51" s="15">
        <f t="shared" si="1"/>
        <v>92000</v>
      </c>
    </row>
    <row r="52" spans="1:14" ht="15" thickBot="1" x14ac:dyDescent="0.35">
      <c r="A52" s="16">
        <v>46146</v>
      </c>
      <c r="B52" s="10" t="s">
        <v>14</v>
      </c>
      <c r="C52" s="13">
        <v>3</v>
      </c>
      <c r="D52" s="11">
        <f>VLOOKUP(B52,[1]lantai9!$B:$G,6,FALSE)</f>
        <v>21000</v>
      </c>
      <c r="E52" s="11">
        <f>VLOOKUP(B52,karyawan!B:D,3,FALSE)</f>
        <v>20000</v>
      </c>
      <c r="F52" s="11" t="str">
        <f>VLOOKUP(B52,karyawan!B:E,4,FALSE)</f>
        <v>Damaz</v>
      </c>
      <c r="G52" s="12">
        <v>2</v>
      </c>
      <c r="H52" s="12"/>
      <c r="I52" s="13">
        <v>2</v>
      </c>
      <c r="J52" s="13">
        <v>2</v>
      </c>
      <c r="K52" s="14">
        <f t="shared" si="0"/>
        <v>0</v>
      </c>
      <c r="L52" s="13">
        <v>2</v>
      </c>
      <c r="M52" s="13">
        <f t="shared" si="2"/>
        <v>0</v>
      </c>
      <c r="N52" s="15">
        <f t="shared" si="1"/>
        <v>0</v>
      </c>
    </row>
    <row r="53" spans="1:14" ht="15" thickBot="1" x14ac:dyDescent="0.35">
      <c r="A53" s="16">
        <v>46146</v>
      </c>
      <c r="B53" s="10" t="s">
        <v>15</v>
      </c>
      <c r="C53" s="13">
        <v>3</v>
      </c>
      <c r="D53" s="11">
        <f>VLOOKUP(B53,[1]lantai9!$B:$G,6,FALSE)</f>
        <v>36000</v>
      </c>
      <c r="E53" s="11">
        <f>VLOOKUP(B53,karyawan!B:D,3,FALSE)</f>
        <v>35000</v>
      </c>
      <c r="F53" s="11" t="str">
        <f>VLOOKUP(B53,karyawan!B:E,4,FALSE)</f>
        <v>Damaz</v>
      </c>
      <c r="G53" s="12">
        <v>3</v>
      </c>
      <c r="H53" s="12"/>
      <c r="I53" s="13">
        <v>3</v>
      </c>
      <c r="J53" s="13">
        <v>3</v>
      </c>
      <c r="K53" s="14">
        <f t="shared" si="0"/>
        <v>0</v>
      </c>
      <c r="L53" s="13">
        <v>3</v>
      </c>
      <c r="M53" s="13">
        <f t="shared" si="2"/>
        <v>0</v>
      </c>
      <c r="N53" s="15">
        <f t="shared" si="1"/>
        <v>0</v>
      </c>
    </row>
    <row r="54" spans="1:14" ht="15" thickBot="1" x14ac:dyDescent="0.35">
      <c r="A54" s="16">
        <v>46146</v>
      </c>
      <c r="B54" s="10" t="s">
        <v>16</v>
      </c>
      <c r="C54" s="13">
        <v>3</v>
      </c>
      <c r="D54" s="11">
        <f>VLOOKUP(B54,[1]lantai9!$B:$G,6,FALSE)</f>
        <v>23000</v>
      </c>
      <c r="E54" s="11">
        <f>VLOOKUP(B54,karyawan!B:D,3,FALSE)</f>
        <v>22000</v>
      </c>
      <c r="F54" s="11" t="str">
        <f>VLOOKUP(B54,karyawan!B:E,4,FALSE)</f>
        <v>Vale</v>
      </c>
      <c r="G54" s="12">
        <v>5</v>
      </c>
      <c r="H54" s="12"/>
      <c r="I54" s="13">
        <v>2</v>
      </c>
      <c r="J54" s="13">
        <v>0</v>
      </c>
      <c r="K54" s="14">
        <f t="shared" si="0"/>
        <v>5</v>
      </c>
      <c r="L54" s="13">
        <v>0</v>
      </c>
      <c r="M54" s="13">
        <f t="shared" si="2"/>
        <v>2</v>
      </c>
      <c r="N54" s="15">
        <f t="shared" si="1"/>
        <v>46000</v>
      </c>
    </row>
    <row r="55" spans="1:14" ht="15" thickBot="1" x14ac:dyDescent="0.35">
      <c r="A55" s="16">
        <v>46146</v>
      </c>
      <c r="B55" s="10" t="s">
        <v>17</v>
      </c>
      <c r="C55" s="13">
        <v>3</v>
      </c>
      <c r="D55" s="11">
        <f>VLOOKUP(B55,[1]lantai9!$B:$G,6,FALSE)</f>
        <v>15000</v>
      </c>
      <c r="E55" s="11">
        <f>VLOOKUP(B55,karyawan!B:D,3,FALSE)</f>
        <v>14000</v>
      </c>
      <c r="F55" s="11" t="str">
        <f>VLOOKUP(B55,karyawan!B:E,4,FALSE)</f>
        <v>Desy</v>
      </c>
      <c r="G55" s="12">
        <v>6</v>
      </c>
      <c r="H55" s="12"/>
      <c r="I55" s="12">
        <v>6</v>
      </c>
      <c r="J55" s="13">
        <v>4</v>
      </c>
      <c r="K55" s="14">
        <f t="shared" si="0"/>
        <v>1</v>
      </c>
      <c r="L55" s="13">
        <v>5</v>
      </c>
      <c r="M55" s="13">
        <f t="shared" si="2"/>
        <v>1</v>
      </c>
      <c r="N55" s="15">
        <f t="shared" si="1"/>
        <v>15000</v>
      </c>
    </row>
    <row r="56" spans="1:14" ht="15" thickBot="1" x14ac:dyDescent="0.35">
      <c r="A56" s="16">
        <v>46146</v>
      </c>
      <c r="B56" s="10" t="s">
        <v>18</v>
      </c>
      <c r="C56" s="13">
        <v>3</v>
      </c>
      <c r="D56" s="11">
        <f>VLOOKUP(B56,[1]lantai9!$B:$G,6,FALSE)</f>
        <v>18000</v>
      </c>
      <c r="E56" s="11">
        <f>VLOOKUP(B56,karyawan!B:D,3,FALSE)</f>
        <v>17000</v>
      </c>
      <c r="F56" s="11" t="str">
        <f>VLOOKUP(B56,karyawan!B:E,4,FALSE)</f>
        <v>Geby</v>
      </c>
      <c r="G56" s="12">
        <v>6</v>
      </c>
      <c r="H56" s="12"/>
      <c r="I56" s="12">
        <v>6</v>
      </c>
      <c r="J56" s="13">
        <v>4</v>
      </c>
      <c r="K56" s="14">
        <f t="shared" si="0"/>
        <v>3</v>
      </c>
      <c r="L56" s="13">
        <v>3</v>
      </c>
      <c r="M56" s="13">
        <f t="shared" si="2"/>
        <v>3</v>
      </c>
      <c r="N56" s="15">
        <f t="shared" si="1"/>
        <v>54000</v>
      </c>
    </row>
    <row r="57" spans="1:14" ht="15" thickBot="1" x14ac:dyDescent="0.35">
      <c r="A57" s="16">
        <v>46146</v>
      </c>
      <c r="B57" s="10" t="s">
        <v>19</v>
      </c>
      <c r="C57" s="13">
        <v>3</v>
      </c>
      <c r="D57" s="11">
        <f>VLOOKUP(B57,[1]lantai9!$B:$G,6,FALSE)</f>
        <v>21000</v>
      </c>
      <c r="E57" s="11">
        <f>VLOOKUP(B57,karyawan!B:D,3,FALSE)</f>
        <v>20000</v>
      </c>
      <c r="F57" s="11" t="str">
        <f>VLOOKUP(B57,karyawan!B:E,4,FALSE)</f>
        <v>Geby</v>
      </c>
      <c r="G57" s="12">
        <v>2</v>
      </c>
      <c r="H57" s="12"/>
      <c r="I57" s="13">
        <v>2</v>
      </c>
      <c r="J57" s="13">
        <v>1</v>
      </c>
      <c r="K57" s="14">
        <f t="shared" si="0"/>
        <v>1</v>
      </c>
      <c r="L57" s="13">
        <v>1</v>
      </c>
      <c r="M57" s="13">
        <f t="shared" si="2"/>
        <v>1</v>
      </c>
      <c r="N57" s="15">
        <f t="shared" si="1"/>
        <v>21000</v>
      </c>
    </row>
    <row r="58" spans="1:14" ht="15" thickBot="1" x14ac:dyDescent="0.35">
      <c r="A58" s="16">
        <v>46146</v>
      </c>
      <c r="B58" s="10" t="s">
        <v>20</v>
      </c>
      <c r="C58" s="13">
        <v>3</v>
      </c>
      <c r="D58" s="11">
        <f>VLOOKUP(B58,[1]lantai9!$B:$G,6,FALSE)</f>
        <v>35000</v>
      </c>
      <c r="E58" s="11">
        <f>VLOOKUP(B58,karyawan!B:D,3,FALSE)</f>
        <v>34000</v>
      </c>
      <c r="F58" s="11" t="str">
        <f>VLOOKUP(B58,karyawan!B:E,4,FALSE)</f>
        <v>Sherly</v>
      </c>
      <c r="G58" s="12">
        <v>2</v>
      </c>
      <c r="H58" s="12"/>
      <c r="I58" s="12">
        <v>2</v>
      </c>
      <c r="J58" s="13">
        <v>2</v>
      </c>
      <c r="K58" s="14">
        <f t="shared" si="0"/>
        <v>1</v>
      </c>
      <c r="L58" s="13">
        <v>1</v>
      </c>
      <c r="M58" s="13">
        <f t="shared" si="2"/>
        <v>1</v>
      </c>
      <c r="N58" s="15">
        <f t="shared" si="1"/>
        <v>35000</v>
      </c>
    </row>
    <row r="59" spans="1:14" ht="15" thickBot="1" x14ac:dyDescent="0.35">
      <c r="A59" s="16">
        <v>46146</v>
      </c>
      <c r="B59" s="10" t="s">
        <v>21</v>
      </c>
      <c r="C59" s="13">
        <v>3</v>
      </c>
      <c r="D59" s="11">
        <f>VLOOKUP(B59,[1]lantai9!$B:$G,6,FALSE)</f>
        <v>40000</v>
      </c>
      <c r="E59" s="11">
        <f>VLOOKUP(B59,karyawan!B:D,3,FALSE)</f>
        <v>39000</v>
      </c>
      <c r="F59" s="11" t="str">
        <f>VLOOKUP(B59,karyawan!B:E,4,FALSE)</f>
        <v>Sherly</v>
      </c>
      <c r="G59" s="12">
        <v>4</v>
      </c>
      <c r="H59" s="12"/>
      <c r="I59" s="12">
        <v>3</v>
      </c>
      <c r="J59" s="13">
        <v>3</v>
      </c>
      <c r="K59" s="14">
        <f t="shared" si="0"/>
        <v>1</v>
      </c>
      <c r="L59" s="13">
        <v>3</v>
      </c>
      <c r="M59" s="13">
        <f t="shared" si="2"/>
        <v>0</v>
      </c>
      <c r="N59" s="15">
        <f t="shared" si="1"/>
        <v>0</v>
      </c>
    </row>
    <row r="60" spans="1:14" ht="15" thickBot="1" x14ac:dyDescent="0.35">
      <c r="A60" s="16">
        <v>46146</v>
      </c>
      <c r="B60" s="10" t="s">
        <v>22</v>
      </c>
      <c r="C60" s="13">
        <v>3</v>
      </c>
      <c r="D60" s="11">
        <f>VLOOKUP(B60,[1]lantai9!$B:$G,6,FALSE)</f>
        <v>2500</v>
      </c>
      <c r="E60" s="11">
        <f>VLOOKUP(B60,karyawan!B:D,3,FALSE)</f>
        <v>1480</v>
      </c>
      <c r="F60" s="11" t="str">
        <f>VLOOKUP(B60,karyawan!B:E,4,FALSE)</f>
        <v>Compliance</v>
      </c>
      <c r="G60" s="12">
        <v>12</v>
      </c>
      <c r="H60" s="12"/>
      <c r="I60" s="13">
        <v>12</v>
      </c>
      <c r="J60" s="13">
        <v>12</v>
      </c>
      <c r="K60" s="14">
        <f t="shared" si="0"/>
        <v>0</v>
      </c>
      <c r="L60" s="13">
        <v>12</v>
      </c>
      <c r="M60" s="13">
        <f t="shared" si="2"/>
        <v>0</v>
      </c>
      <c r="N60" s="15">
        <f t="shared" si="1"/>
        <v>0</v>
      </c>
    </row>
    <row r="61" spans="1:14" ht="15" thickBot="1" x14ac:dyDescent="0.35">
      <c r="A61" s="16">
        <v>46146</v>
      </c>
      <c r="B61" s="10" t="s">
        <v>23</v>
      </c>
      <c r="C61" s="13">
        <v>3</v>
      </c>
      <c r="D61" s="11">
        <f>VLOOKUP(B61,[1]lantai9!$B:$G,6,FALSE)</f>
        <v>2000</v>
      </c>
      <c r="E61" s="11">
        <f>VLOOKUP(B61,karyawan!B:D,3,FALSE)</f>
        <v>1074</v>
      </c>
      <c r="F61" s="11" t="str">
        <f>VLOOKUP(B61,karyawan!B:E,4,FALSE)</f>
        <v>Compliance</v>
      </c>
      <c r="G61" s="12">
        <v>10</v>
      </c>
      <c r="H61" s="12"/>
      <c r="I61" s="12">
        <v>10</v>
      </c>
      <c r="J61" s="13">
        <v>15</v>
      </c>
      <c r="K61" s="14">
        <f t="shared" si="0"/>
        <v>0</v>
      </c>
      <c r="L61" s="13">
        <v>10</v>
      </c>
      <c r="M61" s="13">
        <f t="shared" si="2"/>
        <v>0</v>
      </c>
      <c r="N61" s="15">
        <f t="shared" si="1"/>
        <v>0</v>
      </c>
    </row>
    <row r="62" spans="1:14" ht="15" thickBot="1" x14ac:dyDescent="0.35">
      <c r="A62" s="16">
        <v>46146</v>
      </c>
      <c r="B62" s="10" t="s">
        <v>24</v>
      </c>
      <c r="C62" s="13">
        <v>3</v>
      </c>
      <c r="D62" s="11">
        <f>VLOOKUP(B62,[1]lantai9!$B:$G,6,FALSE)</f>
        <v>2500</v>
      </c>
      <c r="E62" s="11">
        <f>VLOOKUP(B62,karyawan!B:D,3,FALSE)</f>
        <v>1465</v>
      </c>
      <c r="F62" s="11" t="str">
        <f>VLOOKUP(B62,karyawan!B:E,4,FALSE)</f>
        <v>Compliance</v>
      </c>
      <c r="G62" s="12">
        <v>10</v>
      </c>
      <c r="H62" s="12"/>
      <c r="I62" s="12">
        <v>10</v>
      </c>
      <c r="J62" s="13">
        <v>15</v>
      </c>
      <c r="K62" s="14">
        <f t="shared" si="0"/>
        <v>1</v>
      </c>
      <c r="L62" s="13">
        <v>9</v>
      </c>
      <c r="M62" s="13">
        <f t="shared" si="2"/>
        <v>1</v>
      </c>
      <c r="N62" s="15">
        <f t="shared" si="1"/>
        <v>2500</v>
      </c>
    </row>
    <row r="63" spans="1:14" ht="15" thickBot="1" x14ac:dyDescent="0.35">
      <c r="A63" s="16">
        <v>46146</v>
      </c>
      <c r="B63" s="10" t="s">
        <v>25</v>
      </c>
      <c r="C63" s="13">
        <v>3</v>
      </c>
      <c r="D63" s="11">
        <f>VLOOKUP(B63,[1]lantai9!$B:$G,6,FALSE)</f>
        <v>10000</v>
      </c>
      <c r="E63" s="11">
        <f>VLOOKUP(B63,karyawan!B:D,3,FALSE)</f>
        <v>9200</v>
      </c>
      <c r="F63" s="11" t="str">
        <f>VLOOKUP(B63,karyawan!B:E,4,FALSE)</f>
        <v>Compliance</v>
      </c>
      <c r="G63" s="12">
        <v>15</v>
      </c>
      <c r="H63" s="12"/>
      <c r="I63" s="13">
        <v>15</v>
      </c>
      <c r="J63" s="13">
        <v>13</v>
      </c>
      <c r="K63" s="14">
        <f t="shared" si="0"/>
        <v>2</v>
      </c>
      <c r="L63" s="13">
        <v>13</v>
      </c>
      <c r="M63" s="13">
        <f t="shared" si="2"/>
        <v>2</v>
      </c>
      <c r="N63" s="15">
        <f t="shared" si="1"/>
        <v>20000</v>
      </c>
    </row>
    <row r="64" spans="1:14" ht="15" thickBot="1" x14ac:dyDescent="0.35">
      <c r="A64" s="16">
        <v>46146</v>
      </c>
      <c r="B64" s="10" t="s">
        <v>26</v>
      </c>
      <c r="C64" s="13">
        <v>3</v>
      </c>
      <c r="D64" s="11">
        <f>VLOOKUP(B64,[1]lantai9!$B:$G,6,FALSE)</f>
        <v>15000</v>
      </c>
      <c r="E64" s="11">
        <f>VLOOKUP(B64,karyawan!B:D,3,FALSE)</f>
        <v>13807</v>
      </c>
      <c r="F64" s="11" t="str">
        <f>VLOOKUP(B64,karyawan!B:E,4,FALSE)</f>
        <v>Compliance</v>
      </c>
      <c r="G64" s="12">
        <v>10</v>
      </c>
      <c r="H64" s="12"/>
      <c r="I64" s="13">
        <v>8</v>
      </c>
      <c r="J64" s="13">
        <v>4</v>
      </c>
      <c r="K64" s="14">
        <f t="shared" si="0"/>
        <v>8</v>
      </c>
      <c r="L64" s="13">
        <v>2</v>
      </c>
      <c r="M64" s="13">
        <f t="shared" si="2"/>
        <v>6</v>
      </c>
      <c r="N64" s="15">
        <f t="shared" si="1"/>
        <v>90000</v>
      </c>
    </row>
    <row r="65" spans="1:14" ht="15" thickBot="1" x14ac:dyDescent="0.35">
      <c r="A65" s="16">
        <v>46146</v>
      </c>
      <c r="B65" s="10" t="s">
        <v>27</v>
      </c>
      <c r="C65" s="13">
        <v>3</v>
      </c>
      <c r="D65" s="11">
        <f>VLOOKUP(B65,[1]lantai9!$B:$G,6,FALSE)</f>
        <v>23000</v>
      </c>
      <c r="E65" s="11">
        <f>VLOOKUP(B65,karyawan!B:D,3,FALSE)</f>
        <v>21760</v>
      </c>
      <c r="F65" s="11" t="str">
        <f>VLOOKUP(B65,karyawan!B:E,4,FALSE)</f>
        <v>Compliance</v>
      </c>
      <c r="G65" s="12">
        <v>7</v>
      </c>
      <c r="H65" s="12"/>
      <c r="I65" s="13">
        <v>6</v>
      </c>
      <c r="J65" s="13">
        <v>6</v>
      </c>
      <c r="K65" s="14">
        <f t="shared" si="0"/>
        <v>2</v>
      </c>
      <c r="L65" s="13">
        <v>5</v>
      </c>
      <c r="M65" s="13">
        <f t="shared" si="2"/>
        <v>1</v>
      </c>
      <c r="N65" s="15">
        <f t="shared" si="1"/>
        <v>23000</v>
      </c>
    </row>
    <row r="66" spans="1:14" ht="15" thickBot="1" x14ac:dyDescent="0.35">
      <c r="A66" s="16">
        <v>46146</v>
      </c>
      <c r="B66" s="10" t="s">
        <v>12</v>
      </c>
      <c r="C66" s="13">
        <v>8</v>
      </c>
      <c r="D66" s="11">
        <f>VLOOKUP(B66,[1]lantai9!$B:$G,6,FALSE)</f>
        <v>35000</v>
      </c>
      <c r="E66" s="11">
        <f>VLOOKUP(B66,karyawan!B:D,3,FALSE)</f>
        <v>34000</v>
      </c>
      <c r="F66" s="11" t="str">
        <f>VLOOKUP(B66,karyawan!B:E,4,FALSE)</f>
        <v>Florida</v>
      </c>
      <c r="G66" s="12">
        <v>5</v>
      </c>
      <c r="H66" s="12"/>
      <c r="I66" s="13">
        <v>4</v>
      </c>
      <c r="J66" s="13">
        <v>5</v>
      </c>
      <c r="K66" s="14">
        <f t="shared" ref="K66:K129" si="3">IF($G66-$L66&lt;0,0,$G66-$L66)</f>
        <v>1</v>
      </c>
      <c r="L66" s="13">
        <v>4</v>
      </c>
      <c r="M66" s="13">
        <f t="shared" si="2"/>
        <v>0</v>
      </c>
      <c r="N66" s="15">
        <f t="shared" ref="N66:N129" si="4">M66*D66</f>
        <v>0</v>
      </c>
    </row>
    <row r="67" spans="1:14" ht="15" thickBot="1" x14ac:dyDescent="0.35">
      <c r="A67" s="16">
        <v>46146</v>
      </c>
      <c r="B67" s="10" t="s">
        <v>13</v>
      </c>
      <c r="C67" s="13">
        <v>8</v>
      </c>
      <c r="D67" s="11">
        <f>VLOOKUP(B67,[1]lantai9!$B:$G,6,FALSE)</f>
        <v>23000</v>
      </c>
      <c r="E67" s="11">
        <f>VLOOKUP(B67,karyawan!B:D,3,FALSE)</f>
        <v>22000</v>
      </c>
      <c r="F67" s="11" t="str">
        <f>VLOOKUP(B67,karyawan!B:E,4,FALSE)</f>
        <v>Yohannes</v>
      </c>
      <c r="G67" s="12">
        <v>6</v>
      </c>
      <c r="H67" s="12"/>
      <c r="I67" s="12">
        <v>6</v>
      </c>
      <c r="J67" s="13">
        <v>9</v>
      </c>
      <c r="K67" s="14">
        <f t="shared" si="3"/>
        <v>0</v>
      </c>
      <c r="L67" s="13">
        <v>6</v>
      </c>
      <c r="M67" s="13">
        <f t="shared" ref="M67:M130" si="5">MAX($I67-$L67,0)</f>
        <v>0</v>
      </c>
      <c r="N67" s="15">
        <f t="shared" si="4"/>
        <v>0</v>
      </c>
    </row>
    <row r="68" spans="1:14" ht="15" thickBot="1" x14ac:dyDescent="0.35">
      <c r="A68" s="16">
        <v>46146</v>
      </c>
      <c r="B68" s="10" t="s">
        <v>14</v>
      </c>
      <c r="C68" s="13">
        <v>8</v>
      </c>
      <c r="D68" s="11">
        <f>VLOOKUP(B68,[1]lantai9!$B:$G,6,FALSE)</f>
        <v>21000</v>
      </c>
      <c r="E68" s="11">
        <f>VLOOKUP(B68,karyawan!B:D,3,FALSE)</f>
        <v>20000</v>
      </c>
      <c r="F68" s="11" t="str">
        <f>VLOOKUP(B68,karyawan!B:E,4,FALSE)</f>
        <v>Damaz</v>
      </c>
      <c r="G68" s="12">
        <v>2</v>
      </c>
      <c r="H68" s="12"/>
      <c r="I68" s="13">
        <v>1</v>
      </c>
      <c r="J68" s="13">
        <v>1</v>
      </c>
      <c r="K68" s="14">
        <f t="shared" si="3"/>
        <v>1</v>
      </c>
      <c r="L68" s="13">
        <v>1</v>
      </c>
      <c r="M68" s="13">
        <f t="shared" si="5"/>
        <v>0</v>
      </c>
      <c r="N68" s="15">
        <f t="shared" si="4"/>
        <v>0</v>
      </c>
    </row>
    <row r="69" spans="1:14" ht="15" thickBot="1" x14ac:dyDescent="0.35">
      <c r="A69" s="16">
        <v>46146</v>
      </c>
      <c r="B69" s="10" t="s">
        <v>15</v>
      </c>
      <c r="C69" s="13">
        <v>8</v>
      </c>
      <c r="D69" s="11">
        <f>VLOOKUP(B69,[1]lantai9!$B:$G,6,FALSE)</f>
        <v>36000</v>
      </c>
      <c r="E69" s="11">
        <f>VLOOKUP(B69,karyawan!B:D,3,FALSE)</f>
        <v>35000</v>
      </c>
      <c r="F69" s="11" t="str">
        <f>VLOOKUP(B69,karyawan!B:E,4,FALSE)</f>
        <v>Damaz</v>
      </c>
      <c r="G69" s="12">
        <v>3</v>
      </c>
      <c r="H69" s="12"/>
      <c r="I69" s="13">
        <v>2</v>
      </c>
      <c r="J69" s="13">
        <v>3</v>
      </c>
      <c r="K69" s="14">
        <f t="shared" si="3"/>
        <v>1</v>
      </c>
      <c r="L69" s="13">
        <v>2</v>
      </c>
      <c r="M69" s="13">
        <f t="shared" si="5"/>
        <v>0</v>
      </c>
      <c r="N69" s="15">
        <f t="shared" si="4"/>
        <v>0</v>
      </c>
    </row>
    <row r="70" spans="1:14" ht="15" thickBot="1" x14ac:dyDescent="0.35">
      <c r="A70" s="16">
        <v>46146</v>
      </c>
      <c r="B70" s="10" t="s">
        <v>16</v>
      </c>
      <c r="C70" s="13">
        <v>8</v>
      </c>
      <c r="D70" s="11">
        <f>VLOOKUP(B70,[1]lantai9!$B:$G,6,FALSE)</f>
        <v>23000</v>
      </c>
      <c r="E70" s="11">
        <f>VLOOKUP(B70,karyawan!B:D,3,FALSE)</f>
        <v>22000</v>
      </c>
      <c r="F70" s="11" t="str">
        <f>VLOOKUP(B70,karyawan!B:E,4,FALSE)</f>
        <v>Vale</v>
      </c>
      <c r="G70" s="12">
        <v>5</v>
      </c>
      <c r="H70" s="12"/>
      <c r="I70" s="13">
        <v>0</v>
      </c>
      <c r="J70" s="13">
        <v>1</v>
      </c>
      <c r="K70" s="14">
        <f t="shared" si="3"/>
        <v>5</v>
      </c>
      <c r="L70" s="13">
        <v>0</v>
      </c>
      <c r="M70" s="13">
        <f t="shared" si="5"/>
        <v>0</v>
      </c>
      <c r="N70" s="15">
        <f t="shared" si="4"/>
        <v>0</v>
      </c>
    </row>
    <row r="71" spans="1:14" ht="15" thickBot="1" x14ac:dyDescent="0.35">
      <c r="A71" s="16">
        <v>46146</v>
      </c>
      <c r="B71" s="10" t="s">
        <v>17</v>
      </c>
      <c r="C71" s="13">
        <v>8</v>
      </c>
      <c r="D71" s="11">
        <f>VLOOKUP(B71,[1]lantai9!$B:$G,6,FALSE)</f>
        <v>15000</v>
      </c>
      <c r="E71" s="11">
        <f>VLOOKUP(B71,karyawan!B:D,3,FALSE)</f>
        <v>14000</v>
      </c>
      <c r="F71" s="11" t="str">
        <f>VLOOKUP(B71,karyawan!B:E,4,FALSE)</f>
        <v>Desy</v>
      </c>
      <c r="G71" s="12">
        <v>6</v>
      </c>
      <c r="H71" s="12"/>
      <c r="I71" s="12">
        <v>6</v>
      </c>
      <c r="J71" s="13">
        <v>6</v>
      </c>
      <c r="K71" s="14">
        <f t="shared" si="3"/>
        <v>3</v>
      </c>
      <c r="L71" s="13">
        <v>3</v>
      </c>
      <c r="M71" s="13">
        <f t="shared" si="5"/>
        <v>3</v>
      </c>
      <c r="N71" s="15">
        <f t="shared" si="4"/>
        <v>45000</v>
      </c>
    </row>
    <row r="72" spans="1:14" ht="15" thickBot="1" x14ac:dyDescent="0.35">
      <c r="A72" s="16">
        <v>46146</v>
      </c>
      <c r="B72" s="10" t="s">
        <v>18</v>
      </c>
      <c r="C72" s="13">
        <v>8</v>
      </c>
      <c r="D72" s="11">
        <f>VLOOKUP(B72,[1]lantai9!$B:$G,6,FALSE)</f>
        <v>18000</v>
      </c>
      <c r="E72" s="11">
        <f>VLOOKUP(B72,karyawan!B:D,3,FALSE)</f>
        <v>17000</v>
      </c>
      <c r="F72" s="11" t="str">
        <f>VLOOKUP(B72,karyawan!B:E,4,FALSE)</f>
        <v>Geby</v>
      </c>
      <c r="G72" s="12">
        <v>6</v>
      </c>
      <c r="H72" s="12"/>
      <c r="I72" s="12">
        <v>6</v>
      </c>
      <c r="J72" s="13">
        <v>3</v>
      </c>
      <c r="K72" s="14">
        <f t="shared" si="3"/>
        <v>4</v>
      </c>
      <c r="L72" s="13">
        <v>2</v>
      </c>
      <c r="M72" s="13">
        <f t="shared" si="5"/>
        <v>4</v>
      </c>
      <c r="N72" s="15">
        <f t="shared" si="4"/>
        <v>72000</v>
      </c>
    </row>
    <row r="73" spans="1:14" ht="15" thickBot="1" x14ac:dyDescent="0.35">
      <c r="A73" s="16">
        <v>46146</v>
      </c>
      <c r="B73" s="10" t="s">
        <v>19</v>
      </c>
      <c r="C73" s="13">
        <v>8</v>
      </c>
      <c r="D73" s="11">
        <f>VLOOKUP(B73,[1]lantai9!$B:$G,6,FALSE)</f>
        <v>21000</v>
      </c>
      <c r="E73" s="11">
        <f>VLOOKUP(B73,karyawan!B:D,3,FALSE)</f>
        <v>20000</v>
      </c>
      <c r="F73" s="11" t="str">
        <f>VLOOKUP(B73,karyawan!B:E,4,FALSE)</f>
        <v>Geby</v>
      </c>
      <c r="G73" s="12">
        <v>2</v>
      </c>
      <c r="H73" s="12"/>
      <c r="I73" s="12">
        <v>2</v>
      </c>
      <c r="J73" s="13">
        <v>2</v>
      </c>
      <c r="K73" s="14">
        <f t="shared" si="3"/>
        <v>0</v>
      </c>
      <c r="L73" s="13">
        <v>2</v>
      </c>
      <c r="M73" s="13">
        <f t="shared" si="5"/>
        <v>0</v>
      </c>
      <c r="N73" s="15">
        <f t="shared" si="4"/>
        <v>0</v>
      </c>
    </row>
    <row r="74" spans="1:14" ht="15" thickBot="1" x14ac:dyDescent="0.35">
      <c r="A74" s="16">
        <v>46146</v>
      </c>
      <c r="B74" s="10" t="s">
        <v>20</v>
      </c>
      <c r="C74" s="13">
        <v>8</v>
      </c>
      <c r="D74" s="11">
        <f>VLOOKUP(B74,[1]lantai9!$B:$G,6,FALSE)</f>
        <v>35000</v>
      </c>
      <c r="E74" s="11">
        <f>VLOOKUP(B74,karyawan!B:D,3,FALSE)</f>
        <v>34000</v>
      </c>
      <c r="F74" s="11" t="str">
        <f>VLOOKUP(B74,karyawan!B:E,4,FALSE)</f>
        <v>Sherly</v>
      </c>
      <c r="G74" s="12">
        <v>2</v>
      </c>
      <c r="H74" s="12"/>
      <c r="I74" s="13">
        <v>1</v>
      </c>
      <c r="J74" s="13">
        <v>1</v>
      </c>
      <c r="K74" s="14">
        <f t="shared" si="3"/>
        <v>1</v>
      </c>
      <c r="L74" s="13">
        <v>1</v>
      </c>
      <c r="M74" s="13">
        <f t="shared" si="5"/>
        <v>0</v>
      </c>
      <c r="N74" s="15">
        <f t="shared" si="4"/>
        <v>0</v>
      </c>
    </row>
    <row r="75" spans="1:14" ht="15" thickBot="1" x14ac:dyDescent="0.35">
      <c r="A75" s="16">
        <v>46146</v>
      </c>
      <c r="B75" s="10" t="s">
        <v>21</v>
      </c>
      <c r="C75" s="13">
        <v>8</v>
      </c>
      <c r="D75" s="11">
        <f>VLOOKUP(B75,[1]lantai9!$B:$G,6,FALSE)</f>
        <v>40000</v>
      </c>
      <c r="E75" s="11">
        <f>VLOOKUP(B75,karyawan!B:D,3,FALSE)</f>
        <v>39000</v>
      </c>
      <c r="F75" s="11" t="str">
        <f>VLOOKUP(B75,karyawan!B:E,4,FALSE)</f>
        <v>Sherly</v>
      </c>
      <c r="G75" s="12">
        <v>4</v>
      </c>
      <c r="H75" s="12"/>
      <c r="I75" s="13">
        <v>3</v>
      </c>
      <c r="J75" s="13">
        <v>4</v>
      </c>
      <c r="K75" s="14">
        <f t="shared" si="3"/>
        <v>1</v>
      </c>
      <c r="L75" s="13">
        <v>3</v>
      </c>
      <c r="M75" s="13">
        <f t="shared" si="5"/>
        <v>0</v>
      </c>
      <c r="N75" s="15">
        <f t="shared" si="4"/>
        <v>0</v>
      </c>
    </row>
    <row r="76" spans="1:14" ht="15" thickBot="1" x14ac:dyDescent="0.35">
      <c r="A76" s="16">
        <v>46146</v>
      </c>
      <c r="B76" s="10" t="s">
        <v>22</v>
      </c>
      <c r="C76" s="13">
        <v>8</v>
      </c>
      <c r="D76" s="11">
        <f>VLOOKUP(B76,[1]lantai9!$B:$G,6,FALSE)</f>
        <v>2500</v>
      </c>
      <c r="E76" s="11">
        <f>VLOOKUP(B76,karyawan!B:D,3,FALSE)</f>
        <v>1480</v>
      </c>
      <c r="F76" s="11" t="str">
        <f>VLOOKUP(B76,karyawan!B:E,4,FALSE)</f>
        <v>Compliance</v>
      </c>
      <c r="G76" s="12">
        <v>12</v>
      </c>
      <c r="H76" s="12"/>
      <c r="I76" s="13">
        <v>10</v>
      </c>
      <c r="J76" s="13">
        <v>7</v>
      </c>
      <c r="K76" s="14">
        <f t="shared" si="3"/>
        <v>6</v>
      </c>
      <c r="L76" s="13">
        <v>6</v>
      </c>
      <c r="M76" s="13">
        <f t="shared" si="5"/>
        <v>4</v>
      </c>
      <c r="N76" s="15">
        <f t="shared" si="4"/>
        <v>10000</v>
      </c>
    </row>
    <row r="77" spans="1:14" ht="15" thickBot="1" x14ac:dyDescent="0.35">
      <c r="A77" s="16">
        <v>46146</v>
      </c>
      <c r="B77" s="10" t="s">
        <v>23</v>
      </c>
      <c r="C77" s="13">
        <v>8</v>
      </c>
      <c r="D77" s="11">
        <f>VLOOKUP(B77,[1]lantai9!$B:$G,6,FALSE)</f>
        <v>2000</v>
      </c>
      <c r="E77" s="11">
        <f>VLOOKUP(B77,karyawan!B:D,3,FALSE)</f>
        <v>1074</v>
      </c>
      <c r="F77" s="11" t="str">
        <f>VLOOKUP(B77,karyawan!B:E,4,FALSE)</f>
        <v>Compliance</v>
      </c>
      <c r="G77" s="12">
        <v>10</v>
      </c>
      <c r="H77" s="12"/>
      <c r="I77" s="12">
        <v>10</v>
      </c>
      <c r="J77" s="13">
        <v>4</v>
      </c>
      <c r="K77" s="14">
        <f t="shared" si="3"/>
        <v>0</v>
      </c>
      <c r="L77" s="13">
        <v>10</v>
      </c>
      <c r="M77" s="13">
        <f t="shared" si="5"/>
        <v>0</v>
      </c>
      <c r="N77" s="15">
        <f t="shared" si="4"/>
        <v>0</v>
      </c>
    </row>
    <row r="78" spans="1:14" ht="15" thickBot="1" x14ac:dyDescent="0.35">
      <c r="A78" s="16">
        <v>46146</v>
      </c>
      <c r="B78" s="10" t="s">
        <v>24</v>
      </c>
      <c r="C78" s="13">
        <v>8</v>
      </c>
      <c r="D78" s="11">
        <f>VLOOKUP(B78,[1]lantai9!$B:$G,6,FALSE)</f>
        <v>2500</v>
      </c>
      <c r="E78" s="11">
        <f>VLOOKUP(B78,karyawan!B:D,3,FALSE)</f>
        <v>1465</v>
      </c>
      <c r="F78" s="11" t="str">
        <f>VLOOKUP(B78,karyawan!B:E,4,FALSE)</f>
        <v>Compliance</v>
      </c>
      <c r="G78" s="12">
        <v>10</v>
      </c>
      <c r="H78" s="12"/>
      <c r="I78" s="12">
        <v>10</v>
      </c>
      <c r="J78" s="13">
        <v>6</v>
      </c>
      <c r="K78" s="14">
        <f t="shared" si="3"/>
        <v>4</v>
      </c>
      <c r="L78" s="13">
        <v>6</v>
      </c>
      <c r="M78" s="13">
        <f t="shared" si="5"/>
        <v>4</v>
      </c>
      <c r="N78" s="15">
        <f t="shared" si="4"/>
        <v>10000</v>
      </c>
    </row>
    <row r="79" spans="1:14" ht="15" thickBot="1" x14ac:dyDescent="0.35">
      <c r="A79" s="16">
        <v>46146</v>
      </c>
      <c r="B79" s="10" t="s">
        <v>25</v>
      </c>
      <c r="C79" s="13">
        <v>8</v>
      </c>
      <c r="D79" s="11">
        <f>VLOOKUP(B79,[1]lantai9!$B:$G,6,FALSE)</f>
        <v>10000</v>
      </c>
      <c r="E79" s="11">
        <f>VLOOKUP(B79,karyawan!B:D,3,FALSE)</f>
        <v>9200</v>
      </c>
      <c r="F79" s="11" t="str">
        <f>VLOOKUP(B79,karyawan!B:E,4,FALSE)</f>
        <v>Compliance</v>
      </c>
      <c r="G79" s="12">
        <v>15</v>
      </c>
      <c r="H79" s="12"/>
      <c r="I79" s="13">
        <v>15</v>
      </c>
      <c r="J79" s="13">
        <v>15</v>
      </c>
      <c r="K79" s="14">
        <f t="shared" si="3"/>
        <v>0</v>
      </c>
      <c r="L79" s="13">
        <v>15</v>
      </c>
      <c r="M79" s="13">
        <f t="shared" si="5"/>
        <v>0</v>
      </c>
      <c r="N79" s="15">
        <f t="shared" si="4"/>
        <v>0</v>
      </c>
    </row>
    <row r="80" spans="1:14" ht="15" thickBot="1" x14ac:dyDescent="0.35">
      <c r="A80" s="16">
        <v>46146</v>
      </c>
      <c r="B80" s="10" t="s">
        <v>26</v>
      </c>
      <c r="C80" s="13">
        <v>8</v>
      </c>
      <c r="D80" s="11">
        <f>VLOOKUP(B80,[1]lantai9!$B:$G,6,FALSE)</f>
        <v>15000</v>
      </c>
      <c r="E80" s="11">
        <f>VLOOKUP(B80,karyawan!B:D,3,FALSE)</f>
        <v>13807</v>
      </c>
      <c r="F80" s="11" t="str">
        <f>VLOOKUP(B80,karyawan!B:E,4,FALSE)</f>
        <v>Compliance</v>
      </c>
      <c r="G80" s="12">
        <v>10</v>
      </c>
      <c r="H80" s="12"/>
      <c r="I80" s="13">
        <v>1</v>
      </c>
      <c r="J80" s="13">
        <v>1</v>
      </c>
      <c r="K80" s="14">
        <f t="shared" si="3"/>
        <v>10</v>
      </c>
      <c r="L80" s="13">
        <v>0</v>
      </c>
      <c r="M80" s="13">
        <f t="shared" si="5"/>
        <v>1</v>
      </c>
      <c r="N80" s="15">
        <f t="shared" si="4"/>
        <v>15000</v>
      </c>
    </row>
    <row r="81" spans="1:14" ht="15" thickBot="1" x14ac:dyDescent="0.35">
      <c r="A81" s="16">
        <v>46146</v>
      </c>
      <c r="B81" s="10" t="s">
        <v>27</v>
      </c>
      <c r="C81" s="13">
        <v>8</v>
      </c>
      <c r="D81" s="11">
        <f>VLOOKUP(B81,[1]lantai9!$B:$G,6,FALSE)</f>
        <v>23000</v>
      </c>
      <c r="E81" s="11">
        <f>VLOOKUP(B81,karyawan!B:D,3,FALSE)</f>
        <v>21760</v>
      </c>
      <c r="F81" s="11" t="str">
        <f>VLOOKUP(B81,karyawan!B:E,4,FALSE)</f>
        <v>Compliance</v>
      </c>
      <c r="G81" s="12">
        <v>7</v>
      </c>
      <c r="H81" s="12"/>
      <c r="I81" s="13">
        <v>5</v>
      </c>
      <c r="J81" s="13">
        <v>6</v>
      </c>
      <c r="K81" s="14">
        <f t="shared" si="3"/>
        <v>2</v>
      </c>
      <c r="L81" s="13">
        <v>5</v>
      </c>
      <c r="M81" s="13">
        <f t="shared" si="5"/>
        <v>0</v>
      </c>
      <c r="N81" s="15">
        <f t="shared" si="4"/>
        <v>0</v>
      </c>
    </row>
    <row r="82" spans="1:14" ht="15" thickBot="1" x14ac:dyDescent="0.35">
      <c r="A82" s="16">
        <v>46146</v>
      </c>
      <c r="B82" s="10" t="s">
        <v>12</v>
      </c>
      <c r="C82" s="13">
        <v>9</v>
      </c>
      <c r="D82" s="11">
        <f>VLOOKUP(B82,[1]lantai9!$B:$G,6,FALSE)</f>
        <v>35000</v>
      </c>
      <c r="E82" s="11">
        <f>VLOOKUP(B82,karyawan!B:D,3,FALSE)</f>
        <v>34000</v>
      </c>
      <c r="F82" s="11" t="str">
        <f>VLOOKUP(B82,karyawan!B:E,4,FALSE)</f>
        <v>Florida</v>
      </c>
      <c r="G82" s="12">
        <v>5</v>
      </c>
      <c r="H82" s="12"/>
      <c r="I82" s="13">
        <v>0</v>
      </c>
      <c r="J82" s="13">
        <v>0</v>
      </c>
      <c r="K82" s="14">
        <f t="shared" si="3"/>
        <v>5</v>
      </c>
      <c r="L82" s="13">
        <v>0</v>
      </c>
      <c r="M82" s="13">
        <f t="shared" si="5"/>
        <v>0</v>
      </c>
      <c r="N82" s="15">
        <f t="shared" si="4"/>
        <v>0</v>
      </c>
    </row>
    <row r="83" spans="1:14" ht="15" thickBot="1" x14ac:dyDescent="0.35">
      <c r="A83" s="16">
        <v>46146</v>
      </c>
      <c r="B83" s="10" t="s">
        <v>13</v>
      </c>
      <c r="C83" s="13">
        <v>9</v>
      </c>
      <c r="D83" s="11">
        <f>VLOOKUP(B83,[1]lantai9!$B:$G,6,FALSE)</f>
        <v>23000</v>
      </c>
      <c r="E83" s="11">
        <f>VLOOKUP(B83,karyawan!B:D,3,FALSE)</f>
        <v>22000</v>
      </c>
      <c r="F83" s="11" t="str">
        <f>VLOOKUP(B83,karyawan!B:E,4,FALSE)</f>
        <v>Yohannes</v>
      </c>
      <c r="G83" s="12">
        <v>6</v>
      </c>
      <c r="H83" s="12"/>
      <c r="I83" s="12">
        <v>6</v>
      </c>
      <c r="J83" s="13">
        <v>1</v>
      </c>
      <c r="K83" s="14">
        <f t="shared" si="3"/>
        <v>6</v>
      </c>
      <c r="L83" s="13">
        <v>0</v>
      </c>
      <c r="M83" s="13">
        <f t="shared" si="5"/>
        <v>6</v>
      </c>
      <c r="N83" s="15">
        <f t="shared" si="4"/>
        <v>138000</v>
      </c>
    </row>
    <row r="84" spans="1:14" ht="15" thickBot="1" x14ac:dyDescent="0.35">
      <c r="A84" s="16">
        <v>46146</v>
      </c>
      <c r="B84" s="10" t="s">
        <v>14</v>
      </c>
      <c r="C84" s="13">
        <v>9</v>
      </c>
      <c r="D84" s="11">
        <f>VLOOKUP(B84,[1]lantai9!$B:$G,6,FALSE)</f>
        <v>21000</v>
      </c>
      <c r="E84" s="11">
        <f>VLOOKUP(B84,karyawan!B:D,3,FALSE)</f>
        <v>20000</v>
      </c>
      <c r="F84" s="11" t="str">
        <f>VLOOKUP(B84,karyawan!B:E,4,FALSE)</f>
        <v>Damaz</v>
      </c>
      <c r="G84" s="12">
        <v>2</v>
      </c>
      <c r="H84" s="12"/>
      <c r="I84" s="13">
        <v>2</v>
      </c>
      <c r="J84" s="13">
        <v>2</v>
      </c>
      <c r="K84" s="14">
        <f t="shared" si="3"/>
        <v>0</v>
      </c>
      <c r="L84" s="13">
        <v>2</v>
      </c>
      <c r="M84" s="13">
        <f t="shared" si="5"/>
        <v>0</v>
      </c>
      <c r="N84" s="15">
        <f t="shared" si="4"/>
        <v>0</v>
      </c>
    </row>
    <row r="85" spans="1:14" ht="15" thickBot="1" x14ac:dyDescent="0.35">
      <c r="A85" s="16">
        <v>46146</v>
      </c>
      <c r="B85" s="10" t="s">
        <v>15</v>
      </c>
      <c r="C85" s="13">
        <v>9</v>
      </c>
      <c r="D85" s="11">
        <f>VLOOKUP(B85,[1]lantai9!$B:$G,6,FALSE)</f>
        <v>36000</v>
      </c>
      <c r="E85" s="11">
        <f>VLOOKUP(B85,karyawan!B:D,3,FALSE)</f>
        <v>35000</v>
      </c>
      <c r="F85" s="11" t="str">
        <f>VLOOKUP(B85,karyawan!B:E,4,FALSE)</f>
        <v>Damaz</v>
      </c>
      <c r="G85" s="12">
        <v>3</v>
      </c>
      <c r="H85" s="12"/>
      <c r="I85" s="13">
        <v>1</v>
      </c>
      <c r="J85" s="13">
        <v>1</v>
      </c>
      <c r="K85" s="14">
        <f t="shared" si="3"/>
        <v>2</v>
      </c>
      <c r="L85" s="13">
        <v>1</v>
      </c>
      <c r="M85" s="13">
        <f t="shared" si="5"/>
        <v>0</v>
      </c>
      <c r="N85" s="15">
        <f t="shared" si="4"/>
        <v>0</v>
      </c>
    </row>
    <row r="86" spans="1:14" ht="15" thickBot="1" x14ac:dyDescent="0.35">
      <c r="A86" s="16">
        <v>46146</v>
      </c>
      <c r="B86" s="10" t="s">
        <v>16</v>
      </c>
      <c r="C86" s="13">
        <v>9</v>
      </c>
      <c r="D86" s="11">
        <f>VLOOKUP(B86,[1]lantai9!$B:$G,6,FALSE)</f>
        <v>23000</v>
      </c>
      <c r="E86" s="11">
        <f>VLOOKUP(B86,karyawan!B:D,3,FALSE)</f>
        <v>22000</v>
      </c>
      <c r="F86" s="11" t="str">
        <f>VLOOKUP(B86,karyawan!B:E,4,FALSE)</f>
        <v>Vale</v>
      </c>
      <c r="G86" s="12">
        <v>5</v>
      </c>
      <c r="H86" s="12"/>
      <c r="I86" s="13">
        <v>0</v>
      </c>
      <c r="J86" s="13">
        <v>0</v>
      </c>
      <c r="K86" s="14">
        <f t="shared" si="3"/>
        <v>5</v>
      </c>
      <c r="L86" s="13">
        <v>0</v>
      </c>
      <c r="M86" s="13">
        <f t="shared" si="5"/>
        <v>0</v>
      </c>
      <c r="N86" s="15">
        <f t="shared" si="4"/>
        <v>0</v>
      </c>
    </row>
    <row r="87" spans="1:14" ht="15" thickBot="1" x14ac:dyDescent="0.35">
      <c r="A87" s="16">
        <v>46146</v>
      </c>
      <c r="B87" s="10" t="s">
        <v>17</v>
      </c>
      <c r="C87" s="13">
        <v>9</v>
      </c>
      <c r="D87" s="11">
        <f>VLOOKUP(B87,[1]lantai9!$B:$G,6,FALSE)</f>
        <v>15000</v>
      </c>
      <c r="E87" s="11">
        <f>VLOOKUP(B87,karyawan!B:D,3,FALSE)</f>
        <v>14000</v>
      </c>
      <c r="F87" s="11" t="str">
        <f>VLOOKUP(B87,karyawan!B:E,4,FALSE)</f>
        <v>Desy</v>
      </c>
      <c r="G87" s="12">
        <v>6</v>
      </c>
      <c r="H87" s="12"/>
      <c r="I87" s="12">
        <v>6</v>
      </c>
      <c r="J87" s="12">
        <v>3</v>
      </c>
      <c r="K87" s="14">
        <f t="shared" si="3"/>
        <v>2</v>
      </c>
      <c r="L87" s="12">
        <v>4</v>
      </c>
      <c r="M87" s="13">
        <f t="shared" si="5"/>
        <v>2</v>
      </c>
      <c r="N87" s="15">
        <f t="shared" si="4"/>
        <v>30000</v>
      </c>
    </row>
    <row r="88" spans="1:14" ht="15" thickBot="1" x14ac:dyDescent="0.35">
      <c r="A88" s="16">
        <v>46146</v>
      </c>
      <c r="B88" s="10" t="s">
        <v>18</v>
      </c>
      <c r="C88" s="13">
        <v>9</v>
      </c>
      <c r="D88" s="11">
        <f>VLOOKUP(B88,[1]lantai9!$B:$G,6,FALSE)</f>
        <v>18000</v>
      </c>
      <c r="E88" s="11">
        <f>VLOOKUP(B88,karyawan!B:D,3,FALSE)</f>
        <v>17000</v>
      </c>
      <c r="F88" s="11" t="str">
        <f>VLOOKUP(B88,karyawan!B:E,4,FALSE)</f>
        <v>Geby</v>
      </c>
      <c r="G88" s="12">
        <v>6</v>
      </c>
      <c r="H88" s="12"/>
      <c r="I88" s="12">
        <v>6</v>
      </c>
      <c r="J88" s="13">
        <v>1</v>
      </c>
      <c r="K88" s="14">
        <f t="shared" si="3"/>
        <v>5</v>
      </c>
      <c r="L88" s="13">
        <v>1</v>
      </c>
      <c r="M88" s="13">
        <f t="shared" si="5"/>
        <v>5</v>
      </c>
      <c r="N88" s="15">
        <f t="shared" si="4"/>
        <v>90000</v>
      </c>
    </row>
    <row r="89" spans="1:14" ht="15" thickBot="1" x14ac:dyDescent="0.35">
      <c r="A89" s="16">
        <v>46146</v>
      </c>
      <c r="B89" s="10" t="s">
        <v>19</v>
      </c>
      <c r="C89" s="13">
        <v>9</v>
      </c>
      <c r="D89" s="11">
        <f>VLOOKUP(B89,[1]lantai9!$B:$G,6,FALSE)</f>
        <v>21000</v>
      </c>
      <c r="E89" s="11">
        <f>VLOOKUP(B89,karyawan!B:D,3,FALSE)</f>
        <v>20000</v>
      </c>
      <c r="F89" s="11" t="str">
        <f>VLOOKUP(B89,karyawan!B:E,4,FALSE)</f>
        <v>Geby</v>
      </c>
      <c r="G89" s="12">
        <v>2</v>
      </c>
      <c r="H89" s="12"/>
      <c r="I89" s="12">
        <v>2</v>
      </c>
      <c r="J89" s="13">
        <v>0</v>
      </c>
      <c r="K89" s="14">
        <f t="shared" si="3"/>
        <v>2</v>
      </c>
      <c r="L89" s="13">
        <v>0</v>
      </c>
      <c r="M89" s="13">
        <f t="shared" si="5"/>
        <v>2</v>
      </c>
      <c r="N89" s="15">
        <f t="shared" si="4"/>
        <v>42000</v>
      </c>
    </row>
    <row r="90" spans="1:14" ht="15" thickBot="1" x14ac:dyDescent="0.35">
      <c r="A90" s="16">
        <v>46146</v>
      </c>
      <c r="B90" s="10" t="s">
        <v>20</v>
      </c>
      <c r="C90" s="13">
        <v>9</v>
      </c>
      <c r="D90" s="11">
        <f>VLOOKUP(B90,[1]lantai9!$B:$G,6,FALSE)</f>
        <v>35000</v>
      </c>
      <c r="E90" s="11">
        <f>VLOOKUP(B90,karyawan!B:D,3,FALSE)</f>
        <v>34000</v>
      </c>
      <c r="F90" s="11" t="str">
        <f>VLOOKUP(B90,karyawan!B:E,4,FALSE)</f>
        <v>Sherly</v>
      </c>
      <c r="G90" s="12">
        <v>2</v>
      </c>
      <c r="H90" s="12"/>
      <c r="I90" s="12">
        <v>2</v>
      </c>
      <c r="J90" s="13">
        <v>2</v>
      </c>
      <c r="K90" s="14">
        <f t="shared" si="3"/>
        <v>0</v>
      </c>
      <c r="L90" s="13">
        <v>2</v>
      </c>
      <c r="M90" s="13">
        <f t="shared" si="5"/>
        <v>0</v>
      </c>
      <c r="N90" s="15">
        <f t="shared" si="4"/>
        <v>0</v>
      </c>
    </row>
    <row r="91" spans="1:14" ht="15" thickBot="1" x14ac:dyDescent="0.35">
      <c r="A91" s="16">
        <v>46146</v>
      </c>
      <c r="B91" s="10" t="s">
        <v>21</v>
      </c>
      <c r="C91" s="13">
        <v>9</v>
      </c>
      <c r="D91" s="11">
        <f>VLOOKUP(B91,[1]lantai9!$B:$G,6,FALSE)</f>
        <v>40000</v>
      </c>
      <c r="E91" s="11">
        <f>VLOOKUP(B91,karyawan!B:D,3,FALSE)</f>
        <v>39000</v>
      </c>
      <c r="F91" s="11" t="str">
        <f>VLOOKUP(B91,karyawan!B:E,4,FALSE)</f>
        <v>Sherly</v>
      </c>
      <c r="G91" s="12">
        <v>4</v>
      </c>
      <c r="H91" s="12"/>
      <c r="I91" s="12">
        <v>4</v>
      </c>
      <c r="J91" s="13">
        <v>4</v>
      </c>
      <c r="K91" s="14">
        <f t="shared" si="3"/>
        <v>0</v>
      </c>
      <c r="L91" s="13">
        <v>4</v>
      </c>
      <c r="M91" s="13">
        <f t="shared" si="5"/>
        <v>0</v>
      </c>
      <c r="N91" s="15">
        <f t="shared" si="4"/>
        <v>0</v>
      </c>
    </row>
    <row r="92" spans="1:14" ht="15" thickBot="1" x14ac:dyDescent="0.35">
      <c r="A92" s="16">
        <v>46146</v>
      </c>
      <c r="B92" s="10" t="s">
        <v>22</v>
      </c>
      <c r="C92" s="13">
        <v>9</v>
      </c>
      <c r="D92" s="11">
        <f>VLOOKUP(B92,[1]lantai9!$B:$G,6,FALSE)</f>
        <v>2500</v>
      </c>
      <c r="E92" s="11">
        <f>VLOOKUP(B92,karyawan!B:D,3,FALSE)</f>
        <v>1480</v>
      </c>
      <c r="F92" s="11" t="str">
        <f>VLOOKUP(B92,karyawan!B:E,4,FALSE)</f>
        <v>Compliance</v>
      </c>
      <c r="G92" s="12">
        <v>12</v>
      </c>
      <c r="H92" s="12"/>
      <c r="I92" s="13">
        <v>11</v>
      </c>
      <c r="J92" s="13">
        <v>8</v>
      </c>
      <c r="K92" s="14">
        <f t="shared" si="3"/>
        <v>4</v>
      </c>
      <c r="L92" s="13">
        <v>8</v>
      </c>
      <c r="M92" s="13">
        <f t="shared" si="5"/>
        <v>3</v>
      </c>
      <c r="N92" s="15">
        <f t="shared" si="4"/>
        <v>7500</v>
      </c>
    </row>
    <row r="93" spans="1:14" ht="15" thickBot="1" x14ac:dyDescent="0.35">
      <c r="A93" s="16">
        <v>46146</v>
      </c>
      <c r="B93" s="10" t="s">
        <v>23</v>
      </c>
      <c r="C93" s="13">
        <v>9</v>
      </c>
      <c r="D93" s="11">
        <f>VLOOKUP(B93,[1]lantai9!$B:$G,6,FALSE)</f>
        <v>2000</v>
      </c>
      <c r="E93" s="11">
        <f>VLOOKUP(B93,karyawan!B:D,3,FALSE)</f>
        <v>1074</v>
      </c>
      <c r="F93" s="11" t="str">
        <f>VLOOKUP(B93,karyawan!B:E,4,FALSE)</f>
        <v>Compliance</v>
      </c>
      <c r="G93" s="12">
        <v>10</v>
      </c>
      <c r="H93" s="12"/>
      <c r="I93" s="12">
        <v>10</v>
      </c>
      <c r="J93" s="13">
        <v>4</v>
      </c>
      <c r="K93" s="14">
        <f t="shared" si="3"/>
        <v>6</v>
      </c>
      <c r="L93" s="13">
        <v>4</v>
      </c>
      <c r="M93" s="13">
        <f t="shared" si="5"/>
        <v>6</v>
      </c>
      <c r="N93" s="15">
        <f t="shared" si="4"/>
        <v>12000</v>
      </c>
    </row>
    <row r="94" spans="1:14" ht="15" thickBot="1" x14ac:dyDescent="0.35">
      <c r="A94" s="16">
        <v>46146</v>
      </c>
      <c r="B94" s="10" t="s">
        <v>24</v>
      </c>
      <c r="C94" s="13">
        <v>9</v>
      </c>
      <c r="D94" s="11">
        <f>VLOOKUP(B94,[1]lantai9!$B:$G,6,FALSE)</f>
        <v>2500</v>
      </c>
      <c r="E94" s="11">
        <f>VLOOKUP(B94,karyawan!B:D,3,FALSE)</f>
        <v>1465</v>
      </c>
      <c r="F94" s="11" t="str">
        <f>VLOOKUP(B94,karyawan!B:E,4,FALSE)</f>
        <v>Compliance</v>
      </c>
      <c r="G94" s="12">
        <v>10</v>
      </c>
      <c r="H94" s="12"/>
      <c r="I94" s="13">
        <v>9</v>
      </c>
      <c r="J94" s="12">
        <v>7</v>
      </c>
      <c r="K94" s="14">
        <f t="shared" si="3"/>
        <v>3</v>
      </c>
      <c r="L94" s="12">
        <v>7</v>
      </c>
      <c r="M94" s="13">
        <f t="shared" si="5"/>
        <v>2</v>
      </c>
      <c r="N94" s="15">
        <f t="shared" si="4"/>
        <v>5000</v>
      </c>
    </row>
    <row r="95" spans="1:14" ht="15" thickBot="1" x14ac:dyDescent="0.35">
      <c r="A95" s="16">
        <v>46146</v>
      </c>
      <c r="B95" s="10" t="s">
        <v>25</v>
      </c>
      <c r="C95" s="13">
        <v>9</v>
      </c>
      <c r="D95" s="11">
        <f>VLOOKUP(B95,[1]lantai9!$B:$G,6,FALSE)</f>
        <v>10000</v>
      </c>
      <c r="E95" s="11">
        <f>VLOOKUP(B95,karyawan!B:D,3,FALSE)</f>
        <v>9200</v>
      </c>
      <c r="F95" s="11" t="str">
        <f>VLOOKUP(B95,karyawan!B:E,4,FALSE)</f>
        <v>Compliance</v>
      </c>
      <c r="G95" s="12">
        <v>15</v>
      </c>
      <c r="H95" s="12"/>
      <c r="I95" s="13">
        <v>14</v>
      </c>
      <c r="J95" s="13">
        <v>11</v>
      </c>
      <c r="K95" s="14">
        <f t="shared" si="3"/>
        <v>4</v>
      </c>
      <c r="L95" s="13">
        <v>11</v>
      </c>
      <c r="M95" s="13">
        <f t="shared" si="5"/>
        <v>3</v>
      </c>
      <c r="N95" s="15">
        <f t="shared" si="4"/>
        <v>30000</v>
      </c>
    </row>
    <row r="96" spans="1:14" ht="15" thickBot="1" x14ac:dyDescent="0.35">
      <c r="A96" s="16">
        <v>46146</v>
      </c>
      <c r="B96" s="10" t="s">
        <v>26</v>
      </c>
      <c r="C96" s="13">
        <v>9</v>
      </c>
      <c r="D96" s="11">
        <f>VLOOKUP(B96,[1]lantai9!$B:$G,6,FALSE)</f>
        <v>15000</v>
      </c>
      <c r="E96" s="11">
        <f>VLOOKUP(B96,karyawan!B:D,3,FALSE)</f>
        <v>13807</v>
      </c>
      <c r="F96" s="11" t="str">
        <f>VLOOKUP(B96,karyawan!B:E,4,FALSE)</f>
        <v>Compliance</v>
      </c>
      <c r="G96" s="12">
        <v>10</v>
      </c>
      <c r="H96" s="12"/>
      <c r="I96" s="13">
        <v>2</v>
      </c>
      <c r="J96" s="13">
        <v>1</v>
      </c>
      <c r="K96" s="14">
        <f t="shared" si="3"/>
        <v>10</v>
      </c>
      <c r="L96" s="13">
        <v>0</v>
      </c>
      <c r="M96" s="13">
        <f t="shared" si="5"/>
        <v>2</v>
      </c>
      <c r="N96" s="15">
        <f t="shared" si="4"/>
        <v>30000</v>
      </c>
    </row>
    <row r="97" spans="1:14" ht="15" thickBot="1" x14ac:dyDescent="0.35">
      <c r="A97" s="16">
        <v>46146</v>
      </c>
      <c r="B97" s="10" t="s">
        <v>27</v>
      </c>
      <c r="C97" s="13">
        <v>9</v>
      </c>
      <c r="D97" s="11">
        <f>VLOOKUP(B97,[1]lantai9!$B:$G,6,FALSE)</f>
        <v>23000</v>
      </c>
      <c r="E97" s="11">
        <f>VLOOKUP(B97,karyawan!B:D,3,FALSE)</f>
        <v>21760</v>
      </c>
      <c r="F97" s="11" t="str">
        <f>VLOOKUP(B97,karyawan!B:E,4,FALSE)</f>
        <v>Compliance</v>
      </c>
      <c r="G97" s="12">
        <v>7</v>
      </c>
      <c r="H97" s="12"/>
      <c r="I97" s="13">
        <v>6</v>
      </c>
      <c r="J97" s="13">
        <v>5</v>
      </c>
      <c r="K97" s="14">
        <f t="shared" si="3"/>
        <v>2</v>
      </c>
      <c r="L97" s="13">
        <v>5</v>
      </c>
      <c r="M97" s="13">
        <f t="shared" si="5"/>
        <v>1</v>
      </c>
      <c r="N97" s="15">
        <f t="shared" si="4"/>
        <v>23000</v>
      </c>
    </row>
    <row r="98" spans="1:14" ht="15" thickBot="1" x14ac:dyDescent="0.35">
      <c r="A98" s="16">
        <v>46147</v>
      </c>
      <c r="B98" s="10" t="s">
        <v>12</v>
      </c>
      <c r="C98" s="13">
        <v>3</v>
      </c>
      <c r="D98" s="11">
        <f>VLOOKUP(B98,[1]lantai9!$B:$G,6,FALSE)</f>
        <v>35000</v>
      </c>
      <c r="E98" s="11">
        <f>VLOOKUP(B98,karyawan!B:D,3,FALSE)</f>
        <v>34000</v>
      </c>
      <c r="F98" s="11" t="str">
        <f>VLOOKUP(B98,karyawan!B:E,4,FALSE)</f>
        <v>Florida</v>
      </c>
      <c r="G98" s="12">
        <v>5</v>
      </c>
      <c r="H98" s="12"/>
      <c r="I98" s="13">
        <v>0</v>
      </c>
      <c r="J98" s="13">
        <v>0</v>
      </c>
      <c r="K98" s="14">
        <f t="shared" si="3"/>
        <v>5</v>
      </c>
      <c r="L98" s="13">
        <v>0</v>
      </c>
      <c r="M98" s="13">
        <f t="shared" si="5"/>
        <v>0</v>
      </c>
      <c r="N98" s="15">
        <f t="shared" si="4"/>
        <v>0</v>
      </c>
    </row>
    <row r="99" spans="1:14" ht="15" thickBot="1" x14ac:dyDescent="0.35">
      <c r="A99" s="16">
        <v>46147</v>
      </c>
      <c r="B99" s="10" t="s">
        <v>13</v>
      </c>
      <c r="C99" s="13">
        <v>3</v>
      </c>
      <c r="D99" s="11">
        <f>VLOOKUP(B99,[1]lantai9!$B:$G,6,FALSE)</f>
        <v>23000</v>
      </c>
      <c r="E99" s="11">
        <f>VLOOKUP(B99,karyawan!B:D,3,FALSE)</f>
        <v>22000</v>
      </c>
      <c r="F99" s="11" t="str">
        <f>VLOOKUP(B99,karyawan!B:E,4,FALSE)</f>
        <v>Yohannes</v>
      </c>
      <c r="G99" s="12">
        <v>6</v>
      </c>
      <c r="H99" s="12"/>
      <c r="I99" s="13">
        <v>6</v>
      </c>
      <c r="J99" s="13">
        <v>5</v>
      </c>
      <c r="K99" s="14">
        <f t="shared" si="3"/>
        <v>3</v>
      </c>
      <c r="L99" s="13">
        <v>3</v>
      </c>
      <c r="M99" s="13">
        <f t="shared" si="5"/>
        <v>3</v>
      </c>
      <c r="N99" s="15">
        <f t="shared" si="4"/>
        <v>69000</v>
      </c>
    </row>
    <row r="100" spans="1:14" ht="15" thickBot="1" x14ac:dyDescent="0.35">
      <c r="A100" s="16">
        <v>46147</v>
      </c>
      <c r="B100" s="10" t="s">
        <v>14</v>
      </c>
      <c r="C100" s="13">
        <v>3</v>
      </c>
      <c r="D100" s="11">
        <f>VLOOKUP(B100,[1]lantai9!$B:$G,6,FALSE)</f>
        <v>21000</v>
      </c>
      <c r="E100" s="11">
        <f>VLOOKUP(B100,karyawan!B:D,3,FALSE)</f>
        <v>20000</v>
      </c>
      <c r="F100" s="11" t="str">
        <f>VLOOKUP(B100,karyawan!B:E,4,FALSE)</f>
        <v>Damaz</v>
      </c>
      <c r="G100" s="12">
        <v>2</v>
      </c>
      <c r="H100" s="12"/>
      <c r="I100" s="13">
        <v>2</v>
      </c>
      <c r="J100" s="13">
        <v>2</v>
      </c>
      <c r="K100" s="14">
        <f t="shared" si="3"/>
        <v>0</v>
      </c>
      <c r="L100" s="13">
        <v>2</v>
      </c>
      <c r="M100" s="13">
        <f t="shared" si="5"/>
        <v>0</v>
      </c>
      <c r="N100" s="15">
        <f t="shared" si="4"/>
        <v>0</v>
      </c>
    </row>
    <row r="101" spans="1:14" ht="15" thickBot="1" x14ac:dyDescent="0.35">
      <c r="A101" s="16">
        <v>46147</v>
      </c>
      <c r="B101" s="10" t="s">
        <v>15</v>
      </c>
      <c r="C101" s="13">
        <v>3</v>
      </c>
      <c r="D101" s="11">
        <f>VLOOKUP(B101,[1]lantai9!$B:$G,6,FALSE)</f>
        <v>36000</v>
      </c>
      <c r="E101" s="11">
        <f>VLOOKUP(B101,karyawan!B:D,3,FALSE)</f>
        <v>35000</v>
      </c>
      <c r="F101" s="11" t="str">
        <f>VLOOKUP(B101,karyawan!B:E,4,FALSE)</f>
        <v>Damaz</v>
      </c>
      <c r="G101" s="12">
        <v>3</v>
      </c>
      <c r="H101" s="12"/>
      <c r="I101" s="13">
        <v>3</v>
      </c>
      <c r="J101" s="13">
        <v>3</v>
      </c>
      <c r="K101" s="14">
        <f t="shared" si="3"/>
        <v>0</v>
      </c>
      <c r="L101" s="13">
        <v>3</v>
      </c>
      <c r="M101" s="13">
        <f t="shared" si="5"/>
        <v>0</v>
      </c>
      <c r="N101" s="15">
        <f t="shared" si="4"/>
        <v>0</v>
      </c>
    </row>
    <row r="102" spans="1:14" ht="15" thickBot="1" x14ac:dyDescent="0.35">
      <c r="A102" s="16">
        <v>46147</v>
      </c>
      <c r="B102" s="10" t="s">
        <v>16</v>
      </c>
      <c r="C102" s="13">
        <v>3</v>
      </c>
      <c r="D102" s="11">
        <f>VLOOKUP(B102,[1]lantai9!$B:$G,6,FALSE)</f>
        <v>23000</v>
      </c>
      <c r="E102" s="11">
        <f>VLOOKUP(B102,karyawan!B:D,3,FALSE)</f>
        <v>22000</v>
      </c>
      <c r="F102" s="11" t="str">
        <f>VLOOKUP(B102,karyawan!B:E,4,FALSE)</f>
        <v>Vale</v>
      </c>
      <c r="G102" s="12">
        <v>5</v>
      </c>
      <c r="H102" s="12"/>
      <c r="I102" s="13">
        <v>0</v>
      </c>
      <c r="J102" s="13">
        <v>0</v>
      </c>
      <c r="K102" s="14">
        <f t="shared" si="3"/>
        <v>5</v>
      </c>
      <c r="L102" s="13">
        <v>0</v>
      </c>
      <c r="M102" s="13">
        <f t="shared" si="5"/>
        <v>0</v>
      </c>
      <c r="N102" s="15">
        <f t="shared" si="4"/>
        <v>0</v>
      </c>
    </row>
    <row r="103" spans="1:14" ht="15" thickBot="1" x14ac:dyDescent="0.35">
      <c r="A103" s="16">
        <v>46147</v>
      </c>
      <c r="B103" s="10" t="s">
        <v>17</v>
      </c>
      <c r="C103" s="13">
        <v>3</v>
      </c>
      <c r="D103" s="11">
        <f>VLOOKUP(B103,[1]lantai9!$B:$G,6,FALSE)</f>
        <v>15000</v>
      </c>
      <c r="E103" s="11">
        <f>VLOOKUP(B103,karyawan!B:D,3,FALSE)</f>
        <v>14000</v>
      </c>
      <c r="F103" s="11" t="str">
        <f>VLOOKUP(B103,karyawan!B:E,4,FALSE)</f>
        <v>Desy</v>
      </c>
      <c r="G103" s="12">
        <v>6</v>
      </c>
      <c r="H103" s="12"/>
      <c r="I103" s="13">
        <v>5</v>
      </c>
      <c r="J103" s="13">
        <v>0</v>
      </c>
      <c r="K103" s="14">
        <f t="shared" si="3"/>
        <v>3</v>
      </c>
      <c r="L103" s="13">
        <v>3</v>
      </c>
      <c r="M103" s="13">
        <f t="shared" si="5"/>
        <v>2</v>
      </c>
      <c r="N103" s="15">
        <f t="shared" si="4"/>
        <v>30000</v>
      </c>
    </row>
    <row r="104" spans="1:14" ht="15" thickBot="1" x14ac:dyDescent="0.35">
      <c r="A104" s="16">
        <v>46147</v>
      </c>
      <c r="B104" s="10" t="s">
        <v>18</v>
      </c>
      <c r="C104" s="13">
        <v>3</v>
      </c>
      <c r="D104" s="11">
        <f>VLOOKUP(B104,[1]lantai9!$B:$G,6,FALSE)</f>
        <v>18000</v>
      </c>
      <c r="E104" s="11">
        <f>VLOOKUP(B104,karyawan!B:D,3,FALSE)</f>
        <v>17000</v>
      </c>
      <c r="F104" s="11" t="str">
        <f>VLOOKUP(B104,karyawan!B:E,4,FALSE)</f>
        <v>Geby</v>
      </c>
      <c r="G104" s="12">
        <v>6</v>
      </c>
      <c r="H104" s="12"/>
      <c r="I104" s="13">
        <v>5</v>
      </c>
      <c r="J104" s="13">
        <v>5</v>
      </c>
      <c r="K104" s="14">
        <f t="shared" si="3"/>
        <v>3</v>
      </c>
      <c r="L104" s="13">
        <v>3</v>
      </c>
      <c r="M104" s="13">
        <f t="shared" si="5"/>
        <v>2</v>
      </c>
      <c r="N104" s="15">
        <f t="shared" si="4"/>
        <v>36000</v>
      </c>
    </row>
    <row r="105" spans="1:14" ht="15" thickBot="1" x14ac:dyDescent="0.35">
      <c r="A105" s="16">
        <v>46147</v>
      </c>
      <c r="B105" s="10" t="s">
        <v>19</v>
      </c>
      <c r="C105" s="13">
        <v>3</v>
      </c>
      <c r="D105" s="11">
        <f>VLOOKUP(B105,[1]lantai9!$B:$G,6,FALSE)</f>
        <v>21000</v>
      </c>
      <c r="E105" s="11">
        <f>VLOOKUP(B105,karyawan!B:D,3,FALSE)</f>
        <v>20000</v>
      </c>
      <c r="F105" s="11" t="str">
        <f>VLOOKUP(B105,karyawan!B:E,4,FALSE)</f>
        <v>Geby</v>
      </c>
      <c r="G105" s="12">
        <v>2</v>
      </c>
      <c r="H105" s="12"/>
      <c r="I105" s="13">
        <v>1</v>
      </c>
      <c r="J105" s="13">
        <v>1</v>
      </c>
      <c r="K105" s="14">
        <f t="shared" si="3"/>
        <v>1</v>
      </c>
      <c r="L105" s="13">
        <v>1</v>
      </c>
      <c r="M105" s="13">
        <f t="shared" si="5"/>
        <v>0</v>
      </c>
      <c r="N105" s="15">
        <f t="shared" si="4"/>
        <v>0</v>
      </c>
    </row>
    <row r="106" spans="1:14" ht="15" thickBot="1" x14ac:dyDescent="0.35">
      <c r="A106" s="16">
        <v>46147</v>
      </c>
      <c r="B106" s="10" t="s">
        <v>20</v>
      </c>
      <c r="C106" s="13">
        <v>3</v>
      </c>
      <c r="D106" s="11">
        <f>VLOOKUP(B106,[1]lantai9!$B:$G,6,FALSE)</f>
        <v>35000</v>
      </c>
      <c r="E106" s="11">
        <f>VLOOKUP(B106,karyawan!B:D,3,FALSE)</f>
        <v>34000</v>
      </c>
      <c r="F106" s="11" t="str">
        <f>VLOOKUP(B106,karyawan!B:E,4,FALSE)</f>
        <v>Sherly</v>
      </c>
      <c r="G106" s="12">
        <v>2</v>
      </c>
      <c r="H106" s="12"/>
      <c r="I106" s="13">
        <v>2</v>
      </c>
      <c r="J106" s="13">
        <v>3</v>
      </c>
      <c r="K106" s="14">
        <f t="shared" si="3"/>
        <v>0</v>
      </c>
      <c r="L106" s="13">
        <v>2</v>
      </c>
      <c r="M106" s="13">
        <f t="shared" si="5"/>
        <v>0</v>
      </c>
      <c r="N106" s="15">
        <f t="shared" si="4"/>
        <v>0</v>
      </c>
    </row>
    <row r="107" spans="1:14" ht="15" thickBot="1" x14ac:dyDescent="0.35">
      <c r="A107" s="16">
        <v>46147</v>
      </c>
      <c r="B107" s="10" t="s">
        <v>21</v>
      </c>
      <c r="C107" s="13">
        <v>3</v>
      </c>
      <c r="D107" s="11">
        <f>VLOOKUP(B107,[1]lantai9!$B:$G,6,FALSE)</f>
        <v>40000</v>
      </c>
      <c r="E107" s="11">
        <f>VLOOKUP(B107,karyawan!B:D,3,FALSE)</f>
        <v>39000</v>
      </c>
      <c r="F107" s="11" t="str">
        <f>VLOOKUP(B107,karyawan!B:E,4,FALSE)</f>
        <v>Sherly</v>
      </c>
      <c r="G107" s="12">
        <v>4</v>
      </c>
      <c r="H107" s="12"/>
      <c r="I107" s="13">
        <v>3</v>
      </c>
      <c r="J107" s="13">
        <v>2</v>
      </c>
      <c r="K107" s="14">
        <f t="shared" si="3"/>
        <v>2</v>
      </c>
      <c r="L107" s="13">
        <v>2</v>
      </c>
      <c r="M107" s="13">
        <f t="shared" si="5"/>
        <v>1</v>
      </c>
      <c r="N107" s="15">
        <f t="shared" si="4"/>
        <v>40000</v>
      </c>
    </row>
    <row r="108" spans="1:14" ht="15" thickBot="1" x14ac:dyDescent="0.35">
      <c r="A108" s="16">
        <v>46147</v>
      </c>
      <c r="B108" s="10" t="s">
        <v>22</v>
      </c>
      <c r="C108" s="13">
        <v>3</v>
      </c>
      <c r="D108" s="11">
        <f>VLOOKUP(B108,[1]lantai9!$B:$G,6,FALSE)</f>
        <v>2500</v>
      </c>
      <c r="E108" s="11">
        <f>VLOOKUP(B108,karyawan!B:D,3,FALSE)</f>
        <v>1480</v>
      </c>
      <c r="F108" s="11" t="str">
        <f>VLOOKUP(B108,karyawan!B:E,4,FALSE)</f>
        <v>Compliance</v>
      </c>
      <c r="G108" s="12">
        <v>12</v>
      </c>
      <c r="H108" s="12"/>
      <c r="I108" s="13">
        <v>12</v>
      </c>
      <c r="J108" s="13">
        <v>12</v>
      </c>
      <c r="K108" s="14">
        <f t="shared" si="3"/>
        <v>0</v>
      </c>
      <c r="L108" s="13">
        <v>12</v>
      </c>
      <c r="M108" s="13">
        <f t="shared" si="5"/>
        <v>0</v>
      </c>
      <c r="N108" s="15">
        <f t="shared" si="4"/>
        <v>0</v>
      </c>
    </row>
    <row r="109" spans="1:14" ht="15" thickBot="1" x14ac:dyDescent="0.35">
      <c r="A109" s="16">
        <v>46147</v>
      </c>
      <c r="B109" s="10" t="s">
        <v>23</v>
      </c>
      <c r="C109" s="13">
        <v>3</v>
      </c>
      <c r="D109" s="11">
        <f>VLOOKUP(B109,[1]lantai9!$B:$G,6,FALSE)</f>
        <v>2000</v>
      </c>
      <c r="E109" s="11">
        <f>VLOOKUP(B109,karyawan!B:D,3,FALSE)</f>
        <v>1074</v>
      </c>
      <c r="F109" s="11" t="str">
        <f>VLOOKUP(B109,karyawan!B:E,4,FALSE)</f>
        <v>Compliance</v>
      </c>
      <c r="G109" s="12">
        <v>10</v>
      </c>
      <c r="H109" s="12"/>
      <c r="I109" s="13">
        <v>10</v>
      </c>
      <c r="J109" s="13">
        <v>15</v>
      </c>
      <c r="K109" s="14">
        <f t="shared" si="3"/>
        <v>0</v>
      </c>
      <c r="L109" s="13">
        <v>10</v>
      </c>
      <c r="M109" s="13">
        <f t="shared" si="5"/>
        <v>0</v>
      </c>
      <c r="N109" s="15">
        <f t="shared" si="4"/>
        <v>0</v>
      </c>
    </row>
    <row r="110" spans="1:14" ht="15" thickBot="1" x14ac:dyDescent="0.35">
      <c r="A110" s="16">
        <v>46147</v>
      </c>
      <c r="B110" s="10" t="s">
        <v>24</v>
      </c>
      <c r="C110" s="13">
        <v>3</v>
      </c>
      <c r="D110" s="11">
        <f>VLOOKUP(B110,[1]lantai9!$B:$G,6,FALSE)</f>
        <v>2500</v>
      </c>
      <c r="E110" s="11">
        <f>VLOOKUP(B110,karyawan!B:D,3,FALSE)</f>
        <v>1465</v>
      </c>
      <c r="F110" s="11" t="str">
        <f>VLOOKUP(B110,karyawan!B:E,4,FALSE)</f>
        <v>Compliance</v>
      </c>
      <c r="G110" s="12">
        <v>10</v>
      </c>
      <c r="H110" s="12"/>
      <c r="I110" s="13">
        <v>9</v>
      </c>
      <c r="J110" s="13">
        <v>9</v>
      </c>
      <c r="K110" s="14">
        <f t="shared" si="3"/>
        <v>8</v>
      </c>
      <c r="L110" s="13">
        <v>2</v>
      </c>
      <c r="M110" s="13">
        <f t="shared" si="5"/>
        <v>7</v>
      </c>
      <c r="N110" s="15">
        <f t="shared" si="4"/>
        <v>17500</v>
      </c>
    </row>
    <row r="111" spans="1:14" ht="15" thickBot="1" x14ac:dyDescent="0.35">
      <c r="A111" s="16">
        <v>46147</v>
      </c>
      <c r="B111" s="10" t="s">
        <v>25</v>
      </c>
      <c r="C111" s="13">
        <v>3</v>
      </c>
      <c r="D111" s="11">
        <f>VLOOKUP(B111,[1]lantai9!$B:$G,6,FALSE)</f>
        <v>10000</v>
      </c>
      <c r="E111" s="11">
        <f>VLOOKUP(B111,karyawan!B:D,3,FALSE)</f>
        <v>9200</v>
      </c>
      <c r="F111" s="11" t="str">
        <f>VLOOKUP(B111,karyawan!B:E,4,FALSE)</f>
        <v>Compliance</v>
      </c>
      <c r="G111" s="12">
        <v>15</v>
      </c>
      <c r="H111" s="12"/>
      <c r="I111" s="13">
        <v>13</v>
      </c>
      <c r="J111" s="13">
        <v>13</v>
      </c>
      <c r="K111" s="14">
        <f t="shared" si="3"/>
        <v>2</v>
      </c>
      <c r="L111" s="13">
        <v>13</v>
      </c>
      <c r="M111" s="13">
        <f t="shared" si="5"/>
        <v>0</v>
      </c>
      <c r="N111" s="15">
        <f t="shared" si="4"/>
        <v>0</v>
      </c>
    </row>
    <row r="112" spans="1:14" ht="15" thickBot="1" x14ac:dyDescent="0.35">
      <c r="A112" s="16">
        <v>46147</v>
      </c>
      <c r="B112" s="10" t="s">
        <v>26</v>
      </c>
      <c r="C112" s="13">
        <v>3</v>
      </c>
      <c r="D112" s="11">
        <f>VLOOKUP(B112,[1]lantai9!$B:$G,6,FALSE)</f>
        <v>15000</v>
      </c>
      <c r="E112" s="11">
        <f>VLOOKUP(B112,karyawan!B:D,3,FALSE)</f>
        <v>13807</v>
      </c>
      <c r="F112" s="11" t="str">
        <f>VLOOKUP(B112,karyawan!B:E,4,FALSE)</f>
        <v>Compliance</v>
      </c>
      <c r="G112" s="12">
        <v>10</v>
      </c>
      <c r="H112" s="12"/>
      <c r="I112" s="13">
        <v>2</v>
      </c>
      <c r="J112" s="13">
        <v>4</v>
      </c>
      <c r="K112" s="14">
        <f t="shared" si="3"/>
        <v>8</v>
      </c>
      <c r="L112" s="13">
        <v>2</v>
      </c>
      <c r="M112" s="13">
        <f t="shared" si="5"/>
        <v>0</v>
      </c>
      <c r="N112" s="15">
        <f t="shared" si="4"/>
        <v>0</v>
      </c>
    </row>
    <row r="113" spans="1:14" ht="15" thickBot="1" x14ac:dyDescent="0.35">
      <c r="A113" s="16">
        <v>46147</v>
      </c>
      <c r="B113" s="10" t="s">
        <v>27</v>
      </c>
      <c r="C113" s="13">
        <v>3</v>
      </c>
      <c r="D113" s="11">
        <f>VLOOKUP(B113,[1]lantai9!$B:$G,6,FALSE)</f>
        <v>23000</v>
      </c>
      <c r="E113" s="11">
        <f>VLOOKUP(B113,karyawan!B:D,3,FALSE)</f>
        <v>21760</v>
      </c>
      <c r="F113" s="11" t="str">
        <f>VLOOKUP(B113,karyawan!B:E,4,FALSE)</f>
        <v>Compliance</v>
      </c>
      <c r="G113" s="12">
        <v>7</v>
      </c>
      <c r="H113" s="12"/>
      <c r="I113" s="13">
        <v>5</v>
      </c>
      <c r="J113" s="13">
        <v>6</v>
      </c>
      <c r="K113" s="14">
        <f t="shared" si="3"/>
        <v>2</v>
      </c>
      <c r="L113" s="13">
        <v>5</v>
      </c>
      <c r="M113" s="13">
        <f t="shared" si="5"/>
        <v>0</v>
      </c>
      <c r="N113" s="15">
        <f t="shared" si="4"/>
        <v>0</v>
      </c>
    </row>
    <row r="114" spans="1:14" ht="15" thickBot="1" x14ac:dyDescent="0.35">
      <c r="A114" s="16">
        <v>46147</v>
      </c>
      <c r="B114" s="10" t="s">
        <v>12</v>
      </c>
      <c r="C114" s="13">
        <v>8</v>
      </c>
      <c r="D114" s="11">
        <f>VLOOKUP(B114,[1]lantai9!$B:$G,6,FALSE)</f>
        <v>35000</v>
      </c>
      <c r="E114" s="11">
        <f>VLOOKUP(B114,karyawan!B:D,3,FALSE)</f>
        <v>34000</v>
      </c>
      <c r="F114" s="11" t="str">
        <f>VLOOKUP(B114,karyawan!B:E,4,FALSE)</f>
        <v>Florida</v>
      </c>
      <c r="G114" s="12">
        <v>5</v>
      </c>
      <c r="H114" s="12"/>
      <c r="I114" s="13">
        <v>4</v>
      </c>
      <c r="J114" s="13">
        <v>5</v>
      </c>
      <c r="K114" s="14">
        <f t="shared" si="3"/>
        <v>1</v>
      </c>
      <c r="L114" s="12">
        <v>4</v>
      </c>
      <c r="M114" s="13">
        <f t="shared" si="5"/>
        <v>0</v>
      </c>
      <c r="N114" s="15">
        <f t="shared" si="4"/>
        <v>0</v>
      </c>
    </row>
    <row r="115" spans="1:14" ht="15" thickBot="1" x14ac:dyDescent="0.35">
      <c r="A115" s="16">
        <v>46147</v>
      </c>
      <c r="B115" s="10" t="s">
        <v>13</v>
      </c>
      <c r="C115" s="13">
        <v>8</v>
      </c>
      <c r="D115" s="11">
        <f>VLOOKUP(B115,[1]lantai9!$B:$G,6,FALSE)</f>
        <v>23000</v>
      </c>
      <c r="E115" s="11">
        <f>VLOOKUP(B115,karyawan!B:D,3,FALSE)</f>
        <v>22000</v>
      </c>
      <c r="F115" s="11" t="str">
        <f>VLOOKUP(B115,karyawan!B:E,4,FALSE)</f>
        <v>Yohannes</v>
      </c>
      <c r="G115" s="12">
        <v>6</v>
      </c>
      <c r="H115" s="12"/>
      <c r="I115" s="13">
        <v>6</v>
      </c>
      <c r="J115" s="13">
        <v>9</v>
      </c>
      <c r="K115" s="14">
        <f t="shared" si="3"/>
        <v>1</v>
      </c>
      <c r="L115" s="13">
        <v>5</v>
      </c>
      <c r="M115" s="13">
        <f t="shared" si="5"/>
        <v>1</v>
      </c>
      <c r="N115" s="15">
        <f t="shared" si="4"/>
        <v>23000</v>
      </c>
    </row>
    <row r="116" spans="1:14" ht="15" thickBot="1" x14ac:dyDescent="0.35">
      <c r="A116" s="16">
        <v>46147</v>
      </c>
      <c r="B116" s="10" t="s">
        <v>14</v>
      </c>
      <c r="C116" s="13">
        <v>8</v>
      </c>
      <c r="D116" s="11">
        <f>VLOOKUP(B116,[1]lantai9!$B:$G,6,FALSE)</f>
        <v>21000</v>
      </c>
      <c r="E116" s="11">
        <f>VLOOKUP(B116,karyawan!B:D,3,FALSE)</f>
        <v>20000</v>
      </c>
      <c r="F116" s="11" t="str">
        <f>VLOOKUP(B116,karyawan!B:E,4,FALSE)</f>
        <v>Damaz</v>
      </c>
      <c r="G116" s="12">
        <v>2</v>
      </c>
      <c r="H116" s="12"/>
      <c r="I116" s="13">
        <v>1</v>
      </c>
      <c r="J116" s="13">
        <v>1</v>
      </c>
      <c r="K116" s="14">
        <f t="shared" si="3"/>
        <v>1</v>
      </c>
      <c r="L116" s="13">
        <v>1</v>
      </c>
      <c r="M116" s="13">
        <f t="shared" si="5"/>
        <v>0</v>
      </c>
      <c r="N116" s="15">
        <f t="shared" si="4"/>
        <v>0</v>
      </c>
    </row>
    <row r="117" spans="1:14" ht="15" thickBot="1" x14ac:dyDescent="0.35">
      <c r="A117" s="16">
        <v>46147</v>
      </c>
      <c r="B117" s="10" t="s">
        <v>15</v>
      </c>
      <c r="C117" s="13">
        <v>8</v>
      </c>
      <c r="D117" s="11">
        <f>VLOOKUP(B117,[1]lantai9!$B:$G,6,FALSE)</f>
        <v>36000</v>
      </c>
      <c r="E117" s="11">
        <f>VLOOKUP(B117,karyawan!B:D,3,FALSE)</f>
        <v>35000</v>
      </c>
      <c r="F117" s="11" t="str">
        <f>VLOOKUP(B117,karyawan!B:E,4,FALSE)</f>
        <v>Damaz</v>
      </c>
      <c r="G117" s="12">
        <v>3</v>
      </c>
      <c r="H117" s="12"/>
      <c r="I117" s="13">
        <v>2</v>
      </c>
      <c r="J117" s="13">
        <v>3</v>
      </c>
      <c r="K117" s="14">
        <f t="shared" si="3"/>
        <v>1</v>
      </c>
      <c r="L117" s="13">
        <v>2</v>
      </c>
      <c r="M117" s="13">
        <f t="shared" si="5"/>
        <v>0</v>
      </c>
      <c r="N117" s="15">
        <f t="shared" si="4"/>
        <v>0</v>
      </c>
    </row>
    <row r="118" spans="1:14" ht="15" thickBot="1" x14ac:dyDescent="0.35">
      <c r="A118" s="16">
        <v>46147</v>
      </c>
      <c r="B118" s="10" t="s">
        <v>16</v>
      </c>
      <c r="C118" s="13">
        <v>8</v>
      </c>
      <c r="D118" s="11">
        <f>VLOOKUP(B118,[1]lantai9!$B:$G,6,FALSE)</f>
        <v>23000</v>
      </c>
      <c r="E118" s="11">
        <f>VLOOKUP(B118,karyawan!B:D,3,FALSE)</f>
        <v>22000</v>
      </c>
      <c r="F118" s="11" t="str">
        <f>VLOOKUP(B118,karyawan!B:E,4,FALSE)</f>
        <v>Vale</v>
      </c>
      <c r="G118" s="12">
        <v>5</v>
      </c>
      <c r="H118" s="12"/>
      <c r="I118" s="13">
        <v>0</v>
      </c>
      <c r="J118" s="13">
        <v>1</v>
      </c>
      <c r="K118" s="14">
        <f t="shared" si="3"/>
        <v>5</v>
      </c>
      <c r="L118" s="13">
        <v>0</v>
      </c>
      <c r="M118" s="13">
        <f t="shared" si="5"/>
        <v>0</v>
      </c>
      <c r="N118" s="15">
        <f t="shared" si="4"/>
        <v>0</v>
      </c>
    </row>
    <row r="119" spans="1:14" ht="15" thickBot="1" x14ac:dyDescent="0.35">
      <c r="A119" s="16">
        <v>46147</v>
      </c>
      <c r="B119" s="10" t="s">
        <v>17</v>
      </c>
      <c r="C119" s="13">
        <v>8</v>
      </c>
      <c r="D119" s="11">
        <f>VLOOKUP(B119,[1]lantai9!$B:$G,6,FALSE)</f>
        <v>15000</v>
      </c>
      <c r="E119" s="11">
        <f>VLOOKUP(B119,karyawan!B:D,3,FALSE)</f>
        <v>14000</v>
      </c>
      <c r="F119" s="11" t="str">
        <f>VLOOKUP(B119,karyawan!B:E,4,FALSE)</f>
        <v>Desy</v>
      </c>
      <c r="G119" s="12">
        <v>6</v>
      </c>
      <c r="H119" s="12"/>
      <c r="I119" s="13">
        <v>3</v>
      </c>
      <c r="J119" s="13">
        <v>6</v>
      </c>
      <c r="K119" s="14">
        <f t="shared" si="3"/>
        <v>0</v>
      </c>
      <c r="L119" s="13">
        <v>6</v>
      </c>
      <c r="M119" s="13">
        <f t="shared" si="5"/>
        <v>0</v>
      </c>
      <c r="N119" s="15">
        <f t="shared" si="4"/>
        <v>0</v>
      </c>
    </row>
    <row r="120" spans="1:14" ht="15" thickBot="1" x14ac:dyDescent="0.35">
      <c r="A120" s="16">
        <v>46147</v>
      </c>
      <c r="B120" s="10" t="s">
        <v>18</v>
      </c>
      <c r="C120" s="13">
        <v>8</v>
      </c>
      <c r="D120" s="11">
        <f>VLOOKUP(B120,[1]lantai9!$B:$G,6,FALSE)</f>
        <v>18000</v>
      </c>
      <c r="E120" s="11">
        <f>VLOOKUP(B120,karyawan!B:D,3,FALSE)</f>
        <v>17000</v>
      </c>
      <c r="F120" s="11" t="str">
        <f>VLOOKUP(B120,karyawan!B:E,4,FALSE)</f>
        <v>Geby</v>
      </c>
      <c r="G120" s="12">
        <v>6</v>
      </c>
      <c r="H120" s="12"/>
      <c r="I120" s="13">
        <v>2</v>
      </c>
      <c r="J120" s="13">
        <v>3</v>
      </c>
      <c r="K120" s="14">
        <f t="shared" si="3"/>
        <v>5</v>
      </c>
      <c r="L120" s="13">
        <v>1</v>
      </c>
      <c r="M120" s="13">
        <f t="shared" si="5"/>
        <v>1</v>
      </c>
      <c r="N120" s="15">
        <f t="shared" si="4"/>
        <v>18000</v>
      </c>
    </row>
    <row r="121" spans="1:14" ht="15" thickBot="1" x14ac:dyDescent="0.35">
      <c r="A121" s="16">
        <v>46147</v>
      </c>
      <c r="B121" s="10" t="s">
        <v>19</v>
      </c>
      <c r="C121" s="13">
        <v>8</v>
      </c>
      <c r="D121" s="11">
        <f>VLOOKUP(B121,[1]lantai9!$B:$G,6,FALSE)</f>
        <v>21000</v>
      </c>
      <c r="E121" s="11">
        <f>VLOOKUP(B121,karyawan!B:D,3,FALSE)</f>
        <v>20000</v>
      </c>
      <c r="F121" s="11" t="str">
        <f>VLOOKUP(B121,karyawan!B:E,4,FALSE)</f>
        <v>Geby</v>
      </c>
      <c r="G121" s="12">
        <v>2</v>
      </c>
      <c r="H121" s="12"/>
      <c r="I121" s="13">
        <v>2</v>
      </c>
      <c r="J121" s="13">
        <v>1</v>
      </c>
      <c r="K121" s="14">
        <f t="shared" si="3"/>
        <v>1</v>
      </c>
      <c r="L121" s="13">
        <v>1</v>
      </c>
      <c r="M121" s="13">
        <f t="shared" si="5"/>
        <v>1</v>
      </c>
      <c r="N121" s="15">
        <f t="shared" si="4"/>
        <v>21000</v>
      </c>
    </row>
    <row r="122" spans="1:14" ht="15" thickBot="1" x14ac:dyDescent="0.35">
      <c r="A122" s="16">
        <v>46147</v>
      </c>
      <c r="B122" s="10" t="s">
        <v>20</v>
      </c>
      <c r="C122" s="13">
        <v>8</v>
      </c>
      <c r="D122" s="11">
        <f>VLOOKUP(B122,[1]lantai9!$B:$G,6,FALSE)</f>
        <v>35000</v>
      </c>
      <c r="E122" s="11">
        <f>VLOOKUP(B122,karyawan!B:D,3,FALSE)</f>
        <v>34000</v>
      </c>
      <c r="F122" s="11" t="str">
        <f>VLOOKUP(B122,karyawan!B:E,4,FALSE)</f>
        <v>Sherly</v>
      </c>
      <c r="G122" s="12">
        <v>2</v>
      </c>
      <c r="H122" s="12"/>
      <c r="I122" s="13">
        <v>1</v>
      </c>
      <c r="J122" s="13">
        <v>1</v>
      </c>
      <c r="K122" s="14">
        <f t="shared" si="3"/>
        <v>1</v>
      </c>
      <c r="L122" s="13">
        <v>1</v>
      </c>
      <c r="M122" s="13">
        <f t="shared" si="5"/>
        <v>0</v>
      </c>
      <c r="N122" s="15">
        <f t="shared" si="4"/>
        <v>0</v>
      </c>
    </row>
    <row r="123" spans="1:14" ht="15" thickBot="1" x14ac:dyDescent="0.35">
      <c r="A123" s="16">
        <v>46147</v>
      </c>
      <c r="B123" s="10" t="s">
        <v>21</v>
      </c>
      <c r="C123" s="13">
        <v>8</v>
      </c>
      <c r="D123" s="11">
        <f>VLOOKUP(B123,[1]lantai9!$B:$G,6,FALSE)</f>
        <v>40000</v>
      </c>
      <c r="E123" s="11">
        <f>VLOOKUP(B123,karyawan!B:D,3,FALSE)</f>
        <v>39000</v>
      </c>
      <c r="F123" s="11" t="str">
        <f>VLOOKUP(B123,karyawan!B:E,4,FALSE)</f>
        <v>Sherly</v>
      </c>
      <c r="G123" s="12">
        <v>4</v>
      </c>
      <c r="H123" s="12"/>
      <c r="I123" s="13">
        <v>3</v>
      </c>
      <c r="J123" s="13">
        <v>4</v>
      </c>
      <c r="K123" s="14">
        <f t="shared" si="3"/>
        <v>1</v>
      </c>
      <c r="L123" s="13">
        <v>3</v>
      </c>
      <c r="M123" s="13">
        <f t="shared" si="5"/>
        <v>0</v>
      </c>
      <c r="N123" s="15">
        <f t="shared" si="4"/>
        <v>0</v>
      </c>
    </row>
    <row r="124" spans="1:14" ht="15" thickBot="1" x14ac:dyDescent="0.35">
      <c r="A124" s="16">
        <v>46147</v>
      </c>
      <c r="B124" s="10" t="s">
        <v>22</v>
      </c>
      <c r="C124" s="13">
        <v>8</v>
      </c>
      <c r="D124" s="11">
        <f>VLOOKUP(B124,[1]lantai9!$B:$G,6,FALSE)</f>
        <v>2500</v>
      </c>
      <c r="E124" s="11">
        <f>VLOOKUP(B124,karyawan!B:D,3,FALSE)</f>
        <v>1480</v>
      </c>
      <c r="F124" s="11" t="str">
        <f>VLOOKUP(B124,karyawan!B:E,4,FALSE)</f>
        <v>Compliance</v>
      </c>
      <c r="G124" s="12">
        <v>12</v>
      </c>
      <c r="H124" s="12"/>
      <c r="I124" s="13">
        <v>6</v>
      </c>
      <c r="J124" s="13">
        <v>7</v>
      </c>
      <c r="K124" s="14">
        <f t="shared" si="3"/>
        <v>6</v>
      </c>
      <c r="L124" s="13">
        <v>6</v>
      </c>
      <c r="M124" s="13">
        <f t="shared" si="5"/>
        <v>0</v>
      </c>
      <c r="N124" s="15">
        <f t="shared" si="4"/>
        <v>0</v>
      </c>
    </row>
    <row r="125" spans="1:14" ht="15" thickBot="1" x14ac:dyDescent="0.35">
      <c r="A125" s="16">
        <v>46147</v>
      </c>
      <c r="B125" s="10" t="s">
        <v>23</v>
      </c>
      <c r="C125" s="13">
        <v>8</v>
      </c>
      <c r="D125" s="11">
        <f>VLOOKUP(B125,[1]lantai9!$B:$G,6,FALSE)</f>
        <v>2000</v>
      </c>
      <c r="E125" s="11">
        <f>VLOOKUP(B125,karyawan!B:D,3,FALSE)</f>
        <v>1074</v>
      </c>
      <c r="F125" s="11" t="str">
        <f>VLOOKUP(B125,karyawan!B:E,4,FALSE)</f>
        <v>Compliance</v>
      </c>
      <c r="G125" s="12">
        <v>10</v>
      </c>
      <c r="H125" s="12"/>
      <c r="I125" s="13">
        <v>10</v>
      </c>
      <c r="J125" s="13">
        <v>2</v>
      </c>
      <c r="K125" s="14">
        <f t="shared" si="3"/>
        <v>2</v>
      </c>
      <c r="L125" s="13">
        <v>8</v>
      </c>
      <c r="M125" s="13">
        <f t="shared" si="5"/>
        <v>2</v>
      </c>
      <c r="N125" s="15">
        <f t="shared" si="4"/>
        <v>4000</v>
      </c>
    </row>
    <row r="126" spans="1:14" ht="15" thickBot="1" x14ac:dyDescent="0.35">
      <c r="A126" s="16">
        <v>46147</v>
      </c>
      <c r="B126" s="10" t="s">
        <v>24</v>
      </c>
      <c r="C126" s="13">
        <v>8</v>
      </c>
      <c r="D126" s="11">
        <f>VLOOKUP(B126,[1]lantai9!$B:$G,6,FALSE)</f>
        <v>2500</v>
      </c>
      <c r="E126" s="11">
        <f>VLOOKUP(B126,karyawan!B:D,3,FALSE)</f>
        <v>1465</v>
      </c>
      <c r="F126" s="11" t="str">
        <f>VLOOKUP(B126,karyawan!B:E,4,FALSE)</f>
        <v>Compliance</v>
      </c>
      <c r="G126" s="12">
        <v>10</v>
      </c>
      <c r="H126" s="12"/>
      <c r="I126" s="13">
        <v>6</v>
      </c>
      <c r="J126" s="13">
        <v>-2</v>
      </c>
      <c r="K126" s="14">
        <f t="shared" si="3"/>
        <v>8</v>
      </c>
      <c r="L126" s="13">
        <v>2</v>
      </c>
      <c r="M126" s="13">
        <f t="shared" si="5"/>
        <v>4</v>
      </c>
      <c r="N126" s="15">
        <f t="shared" si="4"/>
        <v>10000</v>
      </c>
    </row>
    <row r="127" spans="1:14" ht="15" thickBot="1" x14ac:dyDescent="0.35">
      <c r="A127" s="16">
        <v>46147</v>
      </c>
      <c r="B127" s="10" t="s">
        <v>25</v>
      </c>
      <c r="C127" s="13">
        <v>8</v>
      </c>
      <c r="D127" s="11">
        <f>VLOOKUP(B127,[1]lantai9!$B:$G,6,FALSE)</f>
        <v>10000</v>
      </c>
      <c r="E127" s="11">
        <f>VLOOKUP(B127,karyawan!B:D,3,FALSE)</f>
        <v>9200</v>
      </c>
      <c r="F127" s="11" t="str">
        <f>VLOOKUP(B127,karyawan!B:E,4,FALSE)</f>
        <v>Compliance</v>
      </c>
      <c r="G127" s="12">
        <v>15</v>
      </c>
      <c r="H127" s="12"/>
      <c r="I127" s="13">
        <v>15</v>
      </c>
      <c r="J127" s="13">
        <v>15</v>
      </c>
      <c r="K127" s="14">
        <f t="shared" si="3"/>
        <v>0</v>
      </c>
      <c r="L127" s="13">
        <v>15</v>
      </c>
      <c r="M127" s="13">
        <f t="shared" si="5"/>
        <v>0</v>
      </c>
      <c r="N127" s="15">
        <f t="shared" si="4"/>
        <v>0</v>
      </c>
    </row>
    <row r="128" spans="1:14" ht="15" thickBot="1" x14ac:dyDescent="0.35">
      <c r="A128" s="16">
        <v>46147</v>
      </c>
      <c r="B128" s="10" t="s">
        <v>26</v>
      </c>
      <c r="C128" s="13">
        <v>8</v>
      </c>
      <c r="D128" s="11">
        <f>VLOOKUP(B128,[1]lantai9!$B:$G,6,FALSE)</f>
        <v>15000</v>
      </c>
      <c r="E128" s="11">
        <f>VLOOKUP(B128,karyawan!B:D,3,FALSE)</f>
        <v>13807</v>
      </c>
      <c r="F128" s="11" t="str">
        <f>VLOOKUP(B128,karyawan!B:E,4,FALSE)</f>
        <v>Compliance</v>
      </c>
      <c r="G128" s="12">
        <v>10</v>
      </c>
      <c r="H128" s="12"/>
      <c r="I128" s="13">
        <v>0</v>
      </c>
      <c r="J128" s="13">
        <v>1</v>
      </c>
      <c r="K128" s="14">
        <f t="shared" si="3"/>
        <v>10</v>
      </c>
      <c r="L128" s="13">
        <v>0</v>
      </c>
      <c r="M128" s="13">
        <f t="shared" si="5"/>
        <v>0</v>
      </c>
      <c r="N128" s="15">
        <f t="shared" si="4"/>
        <v>0</v>
      </c>
    </row>
    <row r="129" spans="1:14" ht="15" thickBot="1" x14ac:dyDescent="0.35">
      <c r="A129" s="16">
        <v>46147</v>
      </c>
      <c r="B129" s="10" t="s">
        <v>27</v>
      </c>
      <c r="C129" s="13">
        <v>8</v>
      </c>
      <c r="D129" s="11">
        <f>VLOOKUP(B129,[1]lantai9!$B:$G,6,FALSE)</f>
        <v>23000</v>
      </c>
      <c r="E129" s="11">
        <f>VLOOKUP(B129,karyawan!B:D,3,FALSE)</f>
        <v>21760</v>
      </c>
      <c r="F129" s="11" t="str">
        <f>VLOOKUP(B129,karyawan!B:E,4,FALSE)</f>
        <v>Compliance</v>
      </c>
      <c r="G129" s="12">
        <v>7</v>
      </c>
      <c r="H129" s="12"/>
      <c r="I129" s="13">
        <v>5</v>
      </c>
      <c r="J129" s="13">
        <v>6</v>
      </c>
      <c r="K129" s="14">
        <f t="shared" si="3"/>
        <v>2</v>
      </c>
      <c r="L129" s="13">
        <v>5</v>
      </c>
      <c r="M129" s="13">
        <f t="shared" si="5"/>
        <v>0</v>
      </c>
      <c r="N129" s="15">
        <f t="shared" si="4"/>
        <v>0</v>
      </c>
    </row>
    <row r="130" spans="1:14" ht="15" thickBot="1" x14ac:dyDescent="0.35">
      <c r="A130" s="16">
        <v>46147</v>
      </c>
      <c r="B130" s="10" t="s">
        <v>12</v>
      </c>
      <c r="C130" s="13">
        <v>9</v>
      </c>
      <c r="D130" s="11">
        <f>VLOOKUP(B130,[1]lantai9!$B:$G,6,FALSE)</f>
        <v>35000</v>
      </c>
      <c r="E130" s="11">
        <f>VLOOKUP(B130,karyawan!B:D,3,FALSE)</f>
        <v>34000</v>
      </c>
      <c r="F130" s="11" t="str">
        <f>VLOOKUP(B130,karyawan!B:E,4,FALSE)</f>
        <v>Florida</v>
      </c>
      <c r="G130" s="12">
        <v>5</v>
      </c>
      <c r="H130" s="12"/>
      <c r="I130" s="13">
        <v>0</v>
      </c>
      <c r="J130" s="13">
        <v>0</v>
      </c>
      <c r="K130" s="14">
        <f t="shared" ref="K130:K193" si="6">IF($G130-$L130&lt;0,0,$G130-$L130)</f>
        <v>5</v>
      </c>
      <c r="L130" s="13">
        <v>0</v>
      </c>
      <c r="M130" s="13">
        <f t="shared" si="5"/>
        <v>0</v>
      </c>
      <c r="N130" s="15">
        <f t="shared" ref="N130:N193" si="7">M130*D130</f>
        <v>0</v>
      </c>
    </row>
    <row r="131" spans="1:14" ht="15" thickBot="1" x14ac:dyDescent="0.35">
      <c r="A131" s="16">
        <v>46147</v>
      </c>
      <c r="B131" s="10" t="s">
        <v>13</v>
      </c>
      <c r="C131" s="13">
        <v>9</v>
      </c>
      <c r="D131" s="11">
        <f>VLOOKUP(B131,[1]lantai9!$B:$G,6,FALSE)</f>
        <v>23000</v>
      </c>
      <c r="E131" s="11">
        <f>VLOOKUP(B131,karyawan!B:D,3,FALSE)</f>
        <v>22000</v>
      </c>
      <c r="F131" s="11" t="str">
        <f>VLOOKUP(B131,karyawan!B:E,4,FALSE)</f>
        <v>Yohannes</v>
      </c>
      <c r="G131" s="12">
        <v>6</v>
      </c>
      <c r="H131" s="12"/>
      <c r="I131" s="13">
        <v>6</v>
      </c>
      <c r="J131" s="13">
        <v>4</v>
      </c>
      <c r="K131" s="14">
        <f t="shared" si="6"/>
        <v>3</v>
      </c>
      <c r="L131" s="13">
        <v>3</v>
      </c>
      <c r="M131" s="13">
        <f t="shared" ref="M131:M194" si="8">MAX($I131-$L131,0)</f>
        <v>3</v>
      </c>
      <c r="N131" s="15">
        <f t="shared" si="7"/>
        <v>69000</v>
      </c>
    </row>
    <row r="132" spans="1:14" ht="15" thickBot="1" x14ac:dyDescent="0.35">
      <c r="A132" s="16">
        <v>46147</v>
      </c>
      <c r="B132" s="10" t="s">
        <v>14</v>
      </c>
      <c r="C132" s="13">
        <v>9</v>
      </c>
      <c r="D132" s="11">
        <f>VLOOKUP(B132,[1]lantai9!$B:$G,6,FALSE)</f>
        <v>21000</v>
      </c>
      <c r="E132" s="11">
        <f>VLOOKUP(B132,karyawan!B:D,3,FALSE)</f>
        <v>20000</v>
      </c>
      <c r="F132" s="11" t="str">
        <f>VLOOKUP(B132,karyawan!B:E,4,FALSE)</f>
        <v>Damaz</v>
      </c>
      <c r="G132" s="12">
        <v>2</v>
      </c>
      <c r="H132" s="12"/>
      <c r="I132" s="13">
        <v>2</v>
      </c>
      <c r="J132" s="13">
        <v>2</v>
      </c>
      <c r="K132" s="14">
        <f t="shared" si="6"/>
        <v>0</v>
      </c>
      <c r="L132" s="13">
        <v>2</v>
      </c>
      <c r="M132" s="13">
        <f t="shared" si="8"/>
        <v>0</v>
      </c>
      <c r="N132" s="15">
        <f t="shared" si="7"/>
        <v>0</v>
      </c>
    </row>
    <row r="133" spans="1:14" ht="15" thickBot="1" x14ac:dyDescent="0.35">
      <c r="A133" s="16">
        <v>46147</v>
      </c>
      <c r="B133" s="10" t="s">
        <v>15</v>
      </c>
      <c r="C133" s="13">
        <v>9</v>
      </c>
      <c r="D133" s="11">
        <f>VLOOKUP(B133,[1]lantai9!$B:$G,6,FALSE)</f>
        <v>36000</v>
      </c>
      <c r="E133" s="11">
        <f>VLOOKUP(B133,karyawan!B:D,3,FALSE)</f>
        <v>35000</v>
      </c>
      <c r="F133" s="11" t="str">
        <f>VLOOKUP(B133,karyawan!B:E,4,FALSE)</f>
        <v>Damaz</v>
      </c>
      <c r="G133" s="12">
        <v>3</v>
      </c>
      <c r="H133" s="12"/>
      <c r="I133" s="13">
        <v>1</v>
      </c>
      <c r="J133" s="13">
        <v>0</v>
      </c>
      <c r="K133" s="14">
        <f t="shared" si="6"/>
        <v>3</v>
      </c>
      <c r="L133" s="13">
        <v>0</v>
      </c>
      <c r="M133" s="13">
        <f t="shared" si="8"/>
        <v>1</v>
      </c>
      <c r="N133" s="15">
        <f t="shared" si="7"/>
        <v>36000</v>
      </c>
    </row>
    <row r="134" spans="1:14" ht="15" thickBot="1" x14ac:dyDescent="0.35">
      <c r="A134" s="16">
        <v>46147</v>
      </c>
      <c r="B134" s="10" t="s">
        <v>16</v>
      </c>
      <c r="C134" s="13">
        <v>9</v>
      </c>
      <c r="D134" s="11">
        <f>VLOOKUP(B134,[1]lantai9!$B:$G,6,FALSE)</f>
        <v>23000</v>
      </c>
      <c r="E134" s="11">
        <f>VLOOKUP(B134,karyawan!B:D,3,FALSE)</f>
        <v>22000</v>
      </c>
      <c r="F134" s="11" t="str">
        <f>VLOOKUP(B134,karyawan!B:E,4,FALSE)</f>
        <v>Vale</v>
      </c>
      <c r="G134" s="12">
        <v>5</v>
      </c>
      <c r="H134" s="12"/>
      <c r="I134" s="13">
        <v>0</v>
      </c>
      <c r="J134" s="13">
        <v>0</v>
      </c>
      <c r="K134" s="14">
        <f t="shared" si="6"/>
        <v>5</v>
      </c>
      <c r="L134" s="13">
        <v>0</v>
      </c>
      <c r="M134" s="13">
        <f t="shared" si="8"/>
        <v>0</v>
      </c>
      <c r="N134" s="15">
        <f t="shared" si="7"/>
        <v>0</v>
      </c>
    </row>
    <row r="135" spans="1:14" ht="15" thickBot="1" x14ac:dyDescent="0.35">
      <c r="A135" s="16">
        <v>46147</v>
      </c>
      <c r="B135" s="10" t="s">
        <v>17</v>
      </c>
      <c r="C135" s="13">
        <v>9</v>
      </c>
      <c r="D135" s="11">
        <f>VLOOKUP(B135,[1]lantai9!$B:$G,6,FALSE)</f>
        <v>15000</v>
      </c>
      <c r="E135" s="11">
        <f>VLOOKUP(B135,karyawan!B:D,3,FALSE)</f>
        <v>14000</v>
      </c>
      <c r="F135" s="11" t="str">
        <f>VLOOKUP(B135,karyawan!B:E,4,FALSE)</f>
        <v>Desy</v>
      </c>
      <c r="G135" s="12">
        <v>6</v>
      </c>
      <c r="H135" s="12"/>
      <c r="I135" s="13">
        <v>6</v>
      </c>
      <c r="J135" s="12">
        <v>4</v>
      </c>
      <c r="K135" s="14">
        <f t="shared" si="6"/>
        <v>2</v>
      </c>
      <c r="L135" s="12">
        <v>4</v>
      </c>
      <c r="M135" s="13">
        <f t="shared" si="8"/>
        <v>2</v>
      </c>
      <c r="N135" s="15">
        <f t="shared" si="7"/>
        <v>30000</v>
      </c>
    </row>
    <row r="136" spans="1:14" ht="15" thickBot="1" x14ac:dyDescent="0.35">
      <c r="A136" s="16">
        <v>46147</v>
      </c>
      <c r="B136" s="10" t="s">
        <v>18</v>
      </c>
      <c r="C136" s="13">
        <v>9</v>
      </c>
      <c r="D136" s="11">
        <f>VLOOKUP(B136,[1]lantai9!$B:$G,6,FALSE)</f>
        <v>18000</v>
      </c>
      <c r="E136" s="11">
        <f>VLOOKUP(B136,karyawan!B:D,3,FALSE)</f>
        <v>17000</v>
      </c>
      <c r="F136" s="11" t="str">
        <f>VLOOKUP(B136,karyawan!B:E,4,FALSE)</f>
        <v>Geby</v>
      </c>
      <c r="G136" s="12">
        <v>6</v>
      </c>
      <c r="H136" s="12"/>
      <c r="I136" s="13">
        <v>1</v>
      </c>
      <c r="J136" s="13">
        <v>1</v>
      </c>
      <c r="K136" s="14">
        <f t="shared" si="6"/>
        <v>5</v>
      </c>
      <c r="L136" s="13">
        <v>1</v>
      </c>
      <c r="M136" s="13">
        <f t="shared" si="8"/>
        <v>0</v>
      </c>
      <c r="N136" s="15">
        <f t="shared" si="7"/>
        <v>0</v>
      </c>
    </row>
    <row r="137" spans="1:14" ht="15" thickBot="1" x14ac:dyDescent="0.35">
      <c r="A137" s="16">
        <v>46147</v>
      </c>
      <c r="B137" s="10" t="s">
        <v>19</v>
      </c>
      <c r="C137" s="13">
        <v>9</v>
      </c>
      <c r="D137" s="11">
        <f>VLOOKUP(B137,[1]lantai9!$B:$G,6,FALSE)</f>
        <v>21000</v>
      </c>
      <c r="E137" s="11">
        <f>VLOOKUP(B137,karyawan!B:D,3,FALSE)</f>
        <v>20000</v>
      </c>
      <c r="F137" s="11" t="str">
        <f>VLOOKUP(B137,karyawan!B:E,4,FALSE)</f>
        <v>Geby</v>
      </c>
      <c r="G137" s="12">
        <v>2</v>
      </c>
      <c r="H137" s="12"/>
      <c r="I137" s="13">
        <v>0</v>
      </c>
      <c r="J137" s="13">
        <v>0</v>
      </c>
      <c r="K137" s="14">
        <f t="shared" si="6"/>
        <v>2</v>
      </c>
      <c r="L137" s="13">
        <v>0</v>
      </c>
      <c r="M137" s="13">
        <f t="shared" si="8"/>
        <v>0</v>
      </c>
      <c r="N137" s="15">
        <f t="shared" si="7"/>
        <v>0</v>
      </c>
    </row>
    <row r="138" spans="1:14" ht="15" thickBot="1" x14ac:dyDescent="0.35">
      <c r="A138" s="16">
        <v>46147</v>
      </c>
      <c r="B138" s="10" t="s">
        <v>20</v>
      </c>
      <c r="C138" s="13">
        <v>9</v>
      </c>
      <c r="D138" s="11">
        <f>VLOOKUP(B138,[1]lantai9!$B:$G,6,FALSE)</f>
        <v>35000</v>
      </c>
      <c r="E138" s="11">
        <f>VLOOKUP(B138,karyawan!B:D,3,FALSE)</f>
        <v>34000</v>
      </c>
      <c r="F138" s="11" t="str">
        <f>VLOOKUP(B138,karyawan!B:E,4,FALSE)</f>
        <v>Sherly</v>
      </c>
      <c r="G138" s="12">
        <v>2</v>
      </c>
      <c r="H138" s="12"/>
      <c r="I138" s="13">
        <v>2</v>
      </c>
      <c r="J138" s="13">
        <v>2</v>
      </c>
      <c r="K138" s="14">
        <f t="shared" si="6"/>
        <v>0</v>
      </c>
      <c r="L138" s="13">
        <v>2</v>
      </c>
      <c r="M138" s="13">
        <f t="shared" si="8"/>
        <v>0</v>
      </c>
      <c r="N138" s="15">
        <f t="shared" si="7"/>
        <v>0</v>
      </c>
    </row>
    <row r="139" spans="1:14" ht="15" thickBot="1" x14ac:dyDescent="0.35">
      <c r="A139" s="16">
        <v>46147</v>
      </c>
      <c r="B139" s="10" t="s">
        <v>21</v>
      </c>
      <c r="C139" s="13">
        <v>9</v>
      </c>
      <c r="D139" s="11">
        <f>VLOOKUP(B139,[1]lantai9!$B:$G,6,FALSE)</f>
        <v>40000</v>
      </c>
      <c r="E139" s="11">
        <f>VLOOKUP(B139,karyawan!B:D,3,FALSE)</f>
        <v>39000</v>
      </c>
      <c r="F139" s="11" t="str">
        <f>VLOOKUP(B139,karyawan!B:E,4,FALSE)</f>
        <v>Sherly</v>
      </c>
      <c r="G139" s="12">
        <v>4</v>
      </c>
      <c r="H139" s="12"/>
      <c r="I139" s="13">
        <v>4</v>
      </c>
      <c r="J139" s="13">
        <v>1</v>
      </c>
      <c r="K139" s="14">
        <f t="shared" si="6"/>
        <v>3</v>
      </c>
      <c r="L139" s="13">
        <v>1</v>
      </c>
      <c r="M139" s="13">
        <f t="shared" si="8"/>
        <v>3</v>
      </c>
      <c r="N139" s="15">
        <f t="shared" si="7"/>
        <v>120000</v>
      </c>
    </row>
    <row r="140" spans="1:14" ht="15" thickBot="1" x14ac:dyDescent="0.35">
      <c r="A140" s="16">
        <v>46147</v>
      </c>
      <c r="B140" s="10" t="s">
        <v>22</v>
      </c>
      <c r="C140" s="13">
        <v>9</v>
      </c>
      <c r="D140" s="11">
        <f>VLOOKUP(B140,[1]lantai9!$B:$G,6,FALSE)</f>
        <v>2500</v>
      </c>
      <c r="E140" s="11">
        <f>VLOOKUP(B140,karyawan!B:D,3,FALSE)</f>
        <v>1480</v>
      </c>
      <c r="F140" s="11" t="str">
        <f>VLOOKUP(B140,karyawan!B:E,4,FALSE)</f>
        <v>Compliance</v>
      </c>
      <c r="G140" s="12">
        <v>12</v>
      </c>
      <c r="H140" s="12"/>
      <c r="I140" s="13">
        <v>8</v>
      </c>
      <c r="J140" s="13">
        <v>8</v>
      </c>
      <c r="K140" s="14">
        <f t="shared" si="6"/>
        <v>4</v>
      </c>
      <c r="L140" s="13">
        <v>8</v>
      </c>
      <c r="M140" s="13">
        <f t="shared" si="8"/>
        <v>0</v>
      </c>
      <c r="N140" s="15">
        <f t="shared" si="7"/>
        <v>0</v>
      </c>
    </row>
    <row r="141" spans="1:14" ht="15" thickBot="1" x14ac:dyDescent="0.35">
      <c r="A141" s="16">
        <v>46147</v>
      </c>
      <c r="B141" s="10" t="s">
        <v>23</v>
      </c>
      <c r="C141" s="13">
        <v>9</v>
      </c>
      <c r="D141" s="11">
        <f>VLOOKUP(B141,[1]lantai9!$B:$G,6,FALSE)</f>
        <v>2000</v>
      </c>
      <c r="E141" s="11">
        <f>VLOOKUP(B141,karyawan!B:D,3,FALSE)</f>
        <v>1074</v>
      </c>
      <c r="F141" s="11" t="str">
        <f>VLOOKUP(B141,karyawan!B:E,4,FALSE)</f>
        <v>Compliance</v>
      </c>
      <c r="G141" s="12">
        <v>10</v>
      </c>
      <c r="H141" s="12"/>
      <c r="I141" s="13">
        <v>10</v>
      </c>
      <c r="J141" s="13">
        <v>0</v>
      </c>
      <c r="K141" s="14">
        <f t="shared" si="6"/>
        <v>10</v>
      </c>
      <c r="L141" s="13">
        <v>0</v>
      </c>
      <c r="M141" s="13">
        <f t="shared" si="8"/>
        <v>10</v>
      </c>
      <c r="N141" s="15">
        <f t="shared" si="7"/>
        <v>20000</v>
      </c>
    </row>
    <row r="142" spans="1:14" ht="15" thickBot="1" x14ac:dyDescent="0.35">
      <c r="A142" s="16">
        <v>46147</v>
      </c>
      <c r="B142" s="10" t="s">
        <v>24</v>
      </c>
      <c r="C142" s="13">
        <v>9</v>
      </c>
      <c r="D142" s="11">
        <f>VLOOKUP(B142,[1]lantai9!$B:$G,6,FALSE)</f>
        <v>2500</v>
      </c>
      <c r="E142" s="11">
        <f>VLOOKUP(B142,karyawan!B:D,3,FALSE)</f>
        <v>1465</v>
      </c>
      <c r="F142" s="11" t="str">
        <f>VLOOKUP(B142,karyawan!B:E,4,FALSE)</f>
        <v>Compliance</v>
      </c>
      <c r="G142" s="12">
        <v>10</v>
      </c>
      <c r="H142" s="12"/>
      <c r="I142" s="13">
        <v>9</v>
      </c>
      <c r="J142" s="12">
        <v>5</v>
      </c>
      <c r="K142" s="14">
        <f t="shared" si="6"/>
        <v>4</v>
      </c>
      <c r="L142" s="12">
        <v>6</v>
      </c>
      <c r="M142" s="13">
        <f t="shared" si="8"/>
        <v>3</v>
      </c>
      <c r="N142" s="15">
        <f t="shared" si="7"/>
        <v>7500</v>
      </c>
    </row>
    <row r="143" spans="1:14" ht="15" thickBot="1" x14ac:dyDescent="0.35">
      <c r="A143" s="16">
        <v>46147</v>
      </c>
      <c r="B143" s="10" t="s">
        <v>25</v>
      </c>
      <c r="C143" s="13">
        <v>9</v>
      </c>
      <c r="D143" s="11">
        <f>VLOOKUP(B143,[1]lantai9!$B:$G,6,FALSE)</f>
        <v>10000</v>
      </c>
      <c r="E143" s="11">
        <f>VLOOKUP(B143,karyawan!B:D,3,FALSE)</f>
        <v>9200</v>
      </c>
      <c r="F143" s="11" t="str">
        <f>VLOOKUP(B143,karyawan!B:E,4,FALSE)</f>
        <v>Compliance</v>
      </c>
      <c r="G143" s="12">
        <v>15</v>
      </c>
      <c r="H143" s="12"/>
      <c r="I143" s="13">
        <v>11</v>
      </c>
      <c r="J143" s="13">
        <v>14</v>
      </c>
      <c r="K143" s="14">
        <f t="shared" si="6"/>
        <v>1</v>
      </c>
      <c r="L143" s="13">
        <v>14</v>
      </c>
      <c r="M143" s="13">
        <f t="shared" si="8"/>
        <v>0</v>
      </c>
      <c r="N143" s="15">
        <f t="shared" si="7"/>
        <v>0</v>
      </c>
    </row>
    <row r="144" spans="1:14" ht="15" thickBot="1" x14ac:dyDescent="0.35">
      <c r="A144" s="16">
        <v>46147</v>
      </c>
      <c r="B144" s="10" t="s">
        <v>26</v>
      </c>
      <c r="C144" s="13">
        <v>9</v>
      </c>
      <c r="D144" s="11">
        <f>VLOOKUP(B144,[1]lantai9!$B:$G,6,FALSE)</f>
        <v>15000</v>
      </c>
      <c r="E144" s="11">
        <f>VLOOKUP(B144,karyawan!B:D,3,FALSE)</f>
        <v>13807</v>
      </c>
      <c r="F144" s="11" t="str">
        <f>VLOOKUP(B144,karyawan!B:E,4,FALSE)</f>
        <v>Compliance</v>
      </c>
      <c r="G144" s="12">
        <v>10</v>
      </c>
      <c r="H144" s="12"/>
      <c r="I144" s="13">
        <v>0</v>
      </c>
      <c r="J144" s="13">
        <v>0</v>
      </c>
      <c r="K144" s="14">
        <f t="shared" si="6"/>
        <v>10</v>
      </c>
      <c r="L144" s="13">
        <v>0</v>
      </c>
      <c r="M144" s="13">
        <f t="shared" si="8"/>
        <v>0</v>
      </c>
      <c r="N144" s="15">
        <f t="shared" si="7"/>
        <v>0</v>
      </c>
    </row>
    <row r="145" spans="1:14" ht="15" thickBot="1" x14ac:dyDescent="0.35">
      <c r="A145" s="16">
        <v>46147</v>
      </c>
      <c r="B145" s="10" t="s">
        <v>27</v>
      </c>
      <c r="C145" s="13">
        <v>9</v>
      </c>
      <c r="D145" s="11">
        <f>VLOOKUP(B145,[1]lantai9!$B:$G,6,FALSE)</f>
        <v>23000</v>
      </c>
      <c r="E145" s="11">
        <f>VLOOKUP(B145,karyawan!B:D,3,FALSE)</f>
        <v>21760</v>
      </c>
      <c r="F145" s="11" t="str">
        <f>VLOOKUP(B145,karyawan!B:E,4,FALSE)</f>
        <v>Compliance</v>
      </c>
      <c r="G145" s="12">
        <v>7</v>
      </c>
      <c r="H145" s="12"/>
      <c r="I145" s="13">
        <v>5</v>
      </c>
      <c r="J145" s="13">
        <v>5</v>
      </c>
      <c r="K145" s="14">
        <f t="shared" si="6"/>
        <v>2</v>
      </c>
      <c r="L145" s="13">
        <v>5</v>
      </c>
      <c r="M145" s="13">
        <f t="shared" si="8"/>
        <v>0</v>
      </c>
      <c r="N145" s="15">
        <f t="shared" si="7"/>
        <v>0</v>
      </c>
    </row>
    <row r="146" spans="1:14" ht="15" thickBot="1" x14ac:dyDescent="0.35">
      <c r="A146" s="16">
        <v>46148</v>
      </c>
      <c r="B146" s="10" t="s">
        <v>12</v>
      </c>
      <c r="C146" s="13">
        <v>3</v>
      </c>
      <c r="D146" s="11">
        <f>VLOOKUP(B146,[1]lantai9!$B:$G,6,FALSE)</f>
        <v>35000</v>
      </c>
      <c r="E146" s="11">
        <f>VLOOKUP(B146,karyawan!B:D,3,FALSE)</f>
        <v>34000</v>
      </c>
      <c r="F146" s="11" t="str">
        <f>VLOOKUP(B146,karyawan!B:E,4,FALSE)</f>
        <v>Florida</v>
      </c>
      <c r="G146" s="12">
        <v>5</v>
      </c>
      <c r="H146" s="12"/>
      <c r="I146" s="13">
        <v>0</v>
      </c>
      <c r="J146" s="13">
        <v>0</v>
      </c>
      <c r="K146" s="14">
        <f t="shared" si="6"/>
        <v>5</v>
      </c>
      <c r="L146" s="13">
        <v>0</v>
      </c>
      <c r="M146" s="13">
        <f t="shared" si="8"/>
        <v>0</v>
      </c>
      <c r="N146" s="15">
        <f t="shared" si="7"/>
        <v>0</v>
      </c>
    </row>
    <row r="147" spans="1:14" ht="15" thickBot="1" x14ac:dyDescent="0.35">
      <c r="A147" s="16">
        <v>46148</v>
      </c>
      <c r="B147" s="10" t="s">
        <v>13</v>
      </c>
      <c r="C147" s="13">
        <v>3</v>
      </c>
      <c r="D147" s="11">
        <f>VLOOKUP(B147,[1]lantai9!$B:$G,6,FALSE)</f>
        <v>23000</v>
      </c>
      <c r="E147" s="11">
        <f>VLOOKUP(B147,karyawan!B:D,3,FALSE)</f>
        <v>22000</v>
      </c>
      <c r="F147" s="11" t="str">
        <f>VLOOKUP(B147,karyawan!B:E,4,FALSE)</f>
        <v>Yohannes</v>
      </c>
      <c r="G147" s="12">
        <v>6</v>
      </c>
      <c r="H147" s="12"/>
      <c r="I147" s="12">
        <v>5</v>
      </c>
      <c r="J147" s="12">
        <v>3</v>
      </c>
      <c r="K147" s="14">
        <f t="shared" si="6"/>
        <v>6</v>
      </c>
      <c r="L147" s="13">
        <v>0</v>
      </c>
      <c r="M147" s="13">
        <f t="shared" si="8"/>
        <v>5</v>
      </c>
      <c r="N147" s="15">
        <f t="shared" si="7"/>
        <v>115000</v>
      </c>
    </row>
    <row r="148" spans="1:14" ht="15" thickBot="1" x14ac:dyDescent="0.35">
      <c r="A148" s="16">
        <v>46148</v>
      </c>
      <c r="B148" s="10" t="s">
        <v>14</v>
      </c>
      <c r="C148" s="13">
        <v>3</v>
      </c>
      <c r="D148" s="11">
        <f>VLOOKUP(B148,[1]lantai9!$B:$G,6,FALSE)</f>
        <v>21000</v>
      </c>
      <c r="E148" s="11">
        <f>VLOOKUP(B148,karyawan!B:D,3,FALSE)</f>
        <v>20000</v>
      </c>
      <c r="F148" s="11" t="str">
        <f>VLOOKUP(B148,karyawan!B:E,4,FALSE)</f>
        <v>Damaz</v>
      </c>
      <c r="G148" s="12">
        <v>2</v>
      </c>
      <c r="H148" s="12"/>
      <c r="I148" s="13">
        <v>2</v>
      </c>
      <c r="J148" s="13">
        <v>2</v>
      </c>
      <c r="K148" s="14">
        <f t="shared" si="6"/>
        <v>0</v>
      </c>
      <c r="L148" s="13">
        <v>2</v>
      </c>
      <c r="M148" s="13">
        <f t="shared" si="8"/>
        <v>0</v>
      </c>
      <c r="N148" s="15">
        <f t="shared" si="7"/>
        <v>0</v>
      </c>
    </row>
    <row r="149" spans="1:14" ht="15" thickBot="1" x14ac:dyDescent="0.35">
      <c r="A149" s="16">
        <v>46148</v>
      </c>
      <c r="B149" s="10" t="s">
        <v>15</v>
      </c>
      <c r="C149" s="13">
        <v>3</v>
      </c>
      <c r="D149" s="11">
        <f>VLOOKUP(B149,[1]lantai9!$B:$G,6,FALSE)</f>
        <v>36000</v>
      </c>
      <c r="E149" s="11">
        <f>VLOOKUP(B149,karyawan!B:D,3,FALSE)</f>
        <v>35000</v>
      </c>
      <c r="F149" s="11" t="str">
        <f>VLOOKUP(B149,karyawan!B:E,4,FALSE)</f>
        <v>Damaz</v>
      </c>
      <c r="G149" s="12">
        <v>3</v>
      </c>
      <c r="H149" s="12"/>
      <c r="I149" s="13">
        <v>3</v>
      </c>
      <c r="J149" s="13">
        <v>3</v>
      </c>
      <c r="K149" s="14">
        <f t="shared" si="6"/>
        <v>0</v>
      </c>
      <c r="L149" s="13">
        <v>3</v>
      </c>
      <c r="M149" s="13">
        <f t="shared" si="8"/>
        <v>0</v>
      </c>
      <c r="N149" s="15">
        <f t="shared" si="7"/>
        <v>0</v>
      </c>
    </row>
    <row r="150" spans="1:14" ht="15" thickBot="1" x14ac:dyDescent="0.35">
      <c r="A150" s="16">
        <v>46148</v>
      </c>
      <c r="B150" s="10" t="s">
        <v>16</v>
      </c>
      <c r="C150" s="13">
        <v>3</v>
      </c>
      <c r="D150" s="11">
        <f>VLOOKUP(B150,[1]lantai9!$B:$G,6,FALSE)</f>
        <v>23000</v>
      </c>
      <c r="E150" s="11">
        <f>VLOOKUP(B150,karyawan!B:D,3,FALSE)</f>
        <v>22000</v>
      </c>
      <c r="F150" s="11" t="str">
        <f>VLOOKUP(B150,karyawan!B:E,4,FALSE)</f>
        <v>Vale</v>
      </c>
      <c r="G150" s="12">
        <v>5</v>
      </c>
      <c r="H150" s="12"/>
      <c r="I150" s="13">
        <v>0</v>
      </c>
      <c r="J150" s="13">
        <v>0</v>
      </c>
      <c r="K150" s="14">
        <f t="shared" si="6"/>
        <v>5</v>
      </c>
      <c r="L150" s="13">
        <v>0</v>
      </c>
      <c r="M150" s="13">
        <f t="shared" si="8"/>
        <v>0</v>
      </c>
      <c r="N150" s="15">
        <f t="shared" si="7"/>
        <v>0</v>
      </c>
    </row>
    <row r="151" spans="1:14" ht="15" thickBot="1" x14ac:dyDescent="0.35">
      <c r="A151" s="16">
        <v>46148</v>
      </c>
      <c r="B151" s="10" t="s">
        <v>17</v>
      </c>
      <c r="C151" s="13">
        <v>3</v>
      </c>
      <c r="D151" s="11">
        <f>VLOOKUP(B151,[1]lantai9!$B:$G,6,FALSE)</f>
        <v>15000</v>
      </c>
      <c r="E151" s="11">
        <f>VLOOKUP(B151,karyawan!B:D,3,FALSE)</f>
        <v>14000</v>
      </c>
      <c r="F151" s="11" t="str">
        <f>VLOOKUP(B151,karyawan!B:E,4,FALSE)</f>
        <v>Desy</v>
      </c>
      <c r="G151" s="12">
        <v>6</v>
      </c>
      <c r="H151" s="12"/>
      <c r="I151" s="13">
        <v>3</v>
      </c>
      <c r="J151" s="13">
        <v>-2</v>
      </c>
      <c r="K151" s="14">
        <f t="shared" si="6"/>
        <v>5</v>
      </c>
      <c r="L151" s="13">
        <v>1</v>
      </c>
      <c r="M151" s="13">
        <f t="shared" si="8"/>
        <v>2</v>
      </c>
      <c r="N151" s="15">
        <f t="shared" si="7"/>
        <v>30000</v>
      </c>
    </row>
    <row r="152" spans="1:14" ht="15" thickBot="1" x14ac:dyDescent="0.35">
      <c r="A152" s="16">
        <v>46148</v>
      </c>
      <c r="B152" s="10" t="s">
        <v>18</v>
      </c>
      <c r="C152" s="13">
        <v>3</v>
      </c>
      <c r="D152" s="11">
        <f>VLOOKUP(B152,[1]lantai9!$B:$G,6,FALSE)</f>
        <v>18000</v>
      </c>
      <c r="E152" s="11">
        <f>VLOOKUP(B152,karyawan!B:D,3,FALSE)</f>
        <v>17000</v>
      </c>
      <c r="F152" s="11" t="str">
        <f>VLOOKUP(B152,karyawan!B:E,4,FALSE)</f>
        <v>Geby</v>
      </c>
      <c r="G152" s="12">
        <v>6</v>
      </c>
      <c r="H152" s="12"/>
      <c r="I152" s="13">
        <v>3</v>
      </c>
      <c r="J152" s="13">
        <v>2</v>
      </c>
      <c r="K152" s="14">
        <f t="shared" si="6"/>
        <v>6</v>
      </c>
      <c r="L152" s="13">
        <v>0</v>
      </c>
      <c r="M152" s="13">
        <f t="shared" si="8"/>
        <v>3</v>
      </c>
      <c r="N152" s="15">
        <f t="shared" si="7"/>
        <v>54000</v>
      </c>
    </row>
    <row r="153" spans="1:14" ht="15" thickBot="1" x14ac:dyDescent="0.35">
      <c r="A153" s="16">
        <v>46148</v>
      </c>
      <c r="B153" s="10" t="s">
        <v>19</v>
      </c>
      <c r="C153" s="13">
        <v>3</v>
      </c>
      <c r="D153" s="11">
        <f>VLOOKUP(B153,[1]lantai9!$B:$G,6,FALSE)</f>
        <v>21000</v>
      </c>
      <c r="E153" s="11">
        <f>VLOOKUP(B153,karyawan!B:D,3,FALSE)</f>
        <v>20000</v>
      </c>
      <c r="F153" s="11" t="str">
        <f>VLOOKUP(B153,karyawan!B:E,4,FALSE)</f>
        <v>Geby</v>
      </c>
      <c r="G153" s="12">
        <v>2</v>
      </c>
      <c r="H153" s="12"/>
      <c r="I153" s="13">
        <v>1</v>
      </c>
      <c r="J153" s="13">
        <v>0</v>
      </c>
      <c r="K153" s="14">
        <f t="shared" si="6"/>
        <v>2</v>
      </c>
      <c r="L153" s="13">
        <v>0</v>
      </c>
      <c r="M153" s="13">
        <f t="shared" si="8"/>
        <v>1</v>
      </c>
      <c r="N153" s="15">
        <f t="shared" si="7"/>
        <v>21000</v>
      </c>
    </row>
    <row r="154" spans="1:14" ht="15" thickBot="1" x14ac:dyDescent="0.35">
      <c r="A154" s="16">
        <v>46148</v>
      </c>
      <c r="B154" s="10" t="s">
        <v>20</v>
      </c>
      <c r="C154" s="13">
        <v>3</v>
      </c>
      <c r="D154" s="11">
        <f>VLOOKUP(B154,[1]lantai9!$B:$G,6,FALSE)</f>
        <v>35000</v>
      </c>
      <c r="E154" s="11">
        <f>VLOOKUP(B154,karyawan!B:D,3,FALSE)</f>
        <v>34000</v>
      </c>
      <c r="F154" s="11" t="str">
        <f>VLOOKUP(B154,karyawan!B:E,4,FALSE)</f>
        <v>Sherly</v>
      </c>
      <c r="G154" s="12">
        <v>2</v>
      </c>
      <c r="H154" s="12"/>
      <c r="I154" s="13">
        <v>2</v>
      </c>
      <c r="J154" s="13">
        <v>1</v>
      </c>
      <c r="K154" s="14">
        <f t="shared" si="6"/>
        <v>2</v>
      </c>
      <c r="L154" s="13">
        <v>0</v>
      </c>
      <c r="M154" s="13">
        <f t="shared" si="8"/>
        <v>2</v>
      </c>
      <c r="N154" s="15">
        <f t="shared" si="7"/>
        <v>70000</v>
      </c>
    </row>
    <row r="155" spans="1:14" ht="15" thickBot="1" x14ac:dyDescent="0.35">
      <c r="A155" s="16">
        <v>46148</v>
      </c>
      <c r="B155" s="10" t="s">
        <v>21</v>
      </c>
      <c r="C155" s="13">
        <v>3</v>
      </c>
      <c r="D155" s="11">
        <f>VLOOKUP(B155,[1]lantai9!$B:$G,6,FALSE)</f>
        <v>40000</v>
      </c>
      <c r="E155" s="11">
        <f>VLOOKUP(B155,karyawan!B:D,3,FALSE)</f>
        <v>39000</v>
      </c>
      <c r="F155" s="11" t="str">
        <f>VLOOKUP(B155,karyawan!B:E,4,FALSE)</f>
        <v>Sherly</v>
      </c>
      <c r="G155" s="12">
        <v>4</v>
      </c>
      <c r="H155" s="12"/>
      <c r="I155" s="13">
        <v>2</v>
      </c>
      <c r="J155" s="13">
        <v>0</v>
      </c>
      <c r="K155" s="14">
        <f t="shared" si="6"/>
        <v>4</v>
      </c>
      <c r="L155" s="13">
        <v>0</v>
      </c>
      <c r="M155" s="13">
        <f t="shared" si="8"/>
        <v>2</v>
      </c>
      <c r="N155" s="15">
        <f t="shared" si="7"/>
        <v>80000</v>
      </c>
    </row>
    <row r="156" spans="1:14" ht="15" thickBot="1" x14ac:dyDescent="0.35">
      <c r="A156" s="16">
        <v>46148</v>
      </c>
      <c r="B156" s="10" t="s">
        <v>22</v>
      </c>
      <c r="C156" s="13">
        <v>3</v>
      </c>
      <c r="D156" s="11">
        <f>VLOOKUP(B156,[1]lantai9!$B:$G,6,FALSE)</f>
        <v>2500</v>
      </c>
      <c r="E156" s="11">
        <f>VLOOKUP(B156,karyawan!B:D,3,FALSE)</f>
        <v>1480</v>
      </c>
      <c r="F156" s="11" t="str">
        <f>VLOOKUP(B156,karyawan!B:E,4,FALSE)</f>
        <v>Compliance</v>
      </c>
      <c r="G156" s="12">
        <v>12</v>
      </c>
      <c r="H156" s="12"/>
      <c r="I156" s="13">
        <v>12</v>
      </c>
      <c r="J156" s="13">
        <v>12</v>
      </c>
      <c r="K156" s="14">
        <f t="shared" si="6"/>
        <v>0</v>
      </c>
      <c r="L156" s="13">
        <v>12</v>
      </c>
      <c r="M156" s="13">
        <f t="shared" si="8"/>
        <v>0</v>
      </c>
      <c r="N156" s="15">
        <f t="shared" si="7"/>
        <v>0</v>
      </c>
    </row>
    <row r="157" spans="1:14" ht="15" thickBot="1" x14ac:dyDescent="0.35">
      <c r="A157" s="16">
        <v>46148</v>
      </c>
      <c r="B157" s="10" t="s">
        <v>23</v>
      </c>
      <c r="C157" s="13">
        <v>3</v>
      </c>
      <c r="D157" s="11">
        <f>VLOOKUP(B157,[1]lantai9!$B:$G,6,FALSE)</f>
        <v>2000</v>
      </c>
      <c r="E157" s="11">
        <f>VLOOKUP(B157,karyawan!B:D,3,FALSE)</f>
        <v>1074</v>
      </c>
      <c r="F157" s="11" t="str">
        <f>VLOOKUP(B157,karyawan!B:E,4,FALSE)</f>
        <v>Compliance</v>
      </c>
      <c r="G157" s="12">
        <v>10</v>
      </c>
      <c r="H157" s="12"/>
      <c r="I157" s="13">
        <v>10</v>
      </c>
      <c r="J157" s="13">
        <v>13</v>
      </c>
      <c r="K157" s="14">
        <f t="shared" si="6"/>
        <v>4</v>
      </c>
      <c r="L157" s="13">
        <v>6</v>
      </c>
      <c r="M157" s="13">
        <f t="shared" si="8"/>
        <v>4</v>
      </c>
      <c r="N157" s="15">
        <f t="shared" si="7"/>
        <v>8000</v>
      </c>
    </row>
    <row r="158" spans="1:14" ht="15" thickBot="1" x14ac:dyDescent="0.35">
      <c r="A158" s="16">
        <v>46148</v>
      </c>
      <c r="B158" s="10" t="s">
        <v>24</v>
      </c>
      <c r="C158" s="13">
        <v>3</v>
      </c>
      <c r="D158" s="11">
        <f>VLOOKUP(B158,[1]lantai9!$B:$G,6,FALSE)</f>
        <v>2500</v>
      </c>
      <c r="E158" s="11">
        <f>VLOOKUP(B158,karyawan!B:D,3,FALSE)</f>
        <v>1465</v>
      </c>
      <c r="F158" s="11" t="str">
        <f>VLOOKUP(B158,karyawan!B:E,4,FALSE)</f>
        <v>Compliance</v>
      </c>
      <c r="G158" s="12">
        <v>10</v>
      </c>
      <c r="H158" s="12"/>
      <c r="I158" s="13">
        <v>2</v>
      </c>
      <c r="J158" s="13">
        <v>8</v>
      </c>
      <c r="K158" s="14">
        <f t="shared" si="6"/>
        <v>10</v>
      </c>
      <c r="L158" s="13">
        <v>0</v>
      </c>
      <c r="M158" s="13">
        <f t="shared" si="8"/>
        <v>2</v>
      </c>
      <c r="N158" s="15">
        <f t="shared" si="7"/>
        <v>5000</v>
      </c>
    </row>
    <row r="159" spans="1:14" ht="15" thickBot="1" x14ac:dyDescent="0.35">
      <c r="A159" s="16">
        <v>46148</v>
      </c>
      <c r="B159" s="10" t="s">
        <v>25</v>
      </c>
      <c r="C159" s="13">
        <v>3</v>
      </c>
      <c r="D159" s="11">
        <f>VLOOKUP(B159,[1]lantai9!$B:$G,6,FALSE)</f>
        <v>10000</v>
      </c>
      <c r="E159" s="11">
        <f>VLOOKUP(B159,karyawan!B:D,3,FALSE)</f>
        <v>9200</v>
      </c>
      <c r="F159" s="11" t="str">
        <f>VLOOKUP(B159,karyawan!B:E,4,FALSE)</f>
        <v>Compliance</v>
      </c>
      <c r="G159" s="12">
        <v>15</v>
      </c>
      <c r="H159" s="12"/>
      <c r="I159" s="13">
        <v>13</v>
      </c>
      <c r="J159" s="13">
        <v>-2</v>
      </c>
      <c r="K159" s="14">
        <f t="shared" si="6"/>
        <v>15</v>
      </c>
      <c r="L159" s="13">
        <v>0</v>
      </c>
      <c r="M159" s="13">
        <f t="shared" si="8"/>
        <v>13</v>
      </c>
      <c r="N159" s="15">
        <f t="shared" si="7"/>
        <v>130000</v>
      </c>
    </row>
    <row r="160" spans="1:14" ht="15" thickBot="1" x14ac:dyDescent="0.35">
      <c r="A160" s="16">
        <v>46148</v>
      </c>
      <c r="B160" s="10" t="s">
        <v>26</v>
      </c>
      <c r="C160" s="13">
        <v>3</v>
      </c>
      <c r="D160" s="11">
        <f>VLOOKUP(B160,[1]lantai9!$B:$G,6,FALSE)</f>
        <v>15000</v>
      </c>
      <c r="E160" s="11">
        <f>VLOOKUP(B160,karyawan!B:D,3,FALSE)</f>
        <v>13807</v>
      </c>
      <c r="F160" s="11" t="str">
        <f>VLOOKUP(B160,karyawan!B:E,4,FALSE)</f>
        <v>Compliance</v>
      </c>
      <c r="G160" s="12">
        <v>10</v>
      </c>
      <c r="H160" s="12"/>
      <c r="I160" s="13">
        <v>2</v>
      </c>
      <c r="J160" s="13">
        <v>4</v>
      </c>
      <c r="K160" s="14">
        <f t="shared" si="6"/>
        <v>10</v>
      </c>
      <c r="L160" s="13">
        <v>0</v>
      </c>
      <c r="M160" s="13">
        <f t="shared" si="8"/>
        <v>2</v>
      </c>
      <c r="N160" s="15">
        <f t="shared" si="7"/>
        <v>30000</v>
      </c>
    </row>
    <row r="161" spans="1:14" ht="15" thickBot="1" x14ac:dyDescent="0.35">
      <c r="A161" s="16">
        <v>46148</v>
      </c>
      <c r="B161" s="10" t="s">
        <v>27</v>
      </c>
      <c r="C161" s="13">
        <v>3</v>
      </c>
      <c r="D161" s="11">
        <f>VLOOKUP(B161,[1]lantai9!$B:$G,6,FALSE)</f>
        <v>23000</v>
      </c>
      <c r="E161" s="11">
        <f>VLOOKUP(B161,karyawan!B:D,3,FALSE)</f>
        <v>21760</v>
      </c>
      <c r="F161" s="11" t="str">
        <f>VLOOKUP(B161,karyawan!B:E,4,FALSE)</f>
        <v>Compliance</v>
      </c>
      <c r="G161" s="12">
        <v>7</v>
      </c>
      <c r="H161" s="12"/>
      <c r="I161" s="12">
        <v>4</v>
      </c>
      <c r="J161" s="13">
        <v>5</v>
      </c>
      <c r="K161" s="14">
        <f t="shared" si="6"/>
        <v>3</v>
      </c>
      <c r="L161" s="13">
        <v>4</v>
      </c>
      <c r="M161" s="13">
        <f t="shared" si="8"/>
        <v>0</v>
      </c>
      <c r="N161" s="15">
        <f t="shared" si="7"/>
        <v>0</v>
      </c>
    </row>
    <row r="162" spans="1:14" ht="15" thickBot="1" x14ac:dyDescent="0.35">
      <c r="A162" s="16">
        <v>46148</v>
      </c>
      <c r="B162" s="17" t="s">
        <v>28</v>
      </c>
      <c r="C162" s="13">
        <v>3</v>
      </c>
      <c r="D162" s="11">
        <f>VLOOKUP(B162,[1]lantai9!$B:$G,6,FALSE)</f>
        <v>11000</v>
      </c>
      <c r="E162" s="11">
        <f>VLOOKUP(B162,karyawan!B:D,3,FALSE)</f>
        <v>10000</v>
      </c>
      <c r="F162" s="11" t="str">
        <f>VLOOKUP(B162,karyawan!B:E,4,FALSE)</f>
        <v>Compliance</v>
      </c>
      <c r="G162" s="12">
        <v>8</v>
      </c>
      <c r="H162" s="12"/>
      <c r="I162" s="12">
        <v>6</v>
      </c>
      <c r="J162" s="13">
        <v>2</v>
      </c>
      <c r="K162" s="14">
        <f t="shared" si="6"/>
        <v>6</v>
      </c>
      <c r="L162" s="13">
        <v>2</v>
      </c>
      <c r="M162" s="13">
        <f t="shared" si="8"/>
        <v>4</v>
      </c>
      <c r="N162" s="15">
        <f t="shared" si="7"/>
        <v>44000</v>
      </c>
    </row>
    <row r="163" spans="1:14" ht="15" thickBot="1" x14ac:dyDescent="0.35">
      <c r="A163" s="16">
        <v>46148</v>
      </c>
      <c r="B163" s="17" t="s">
        <v>29</v>
      </c>
      <c r="C163" s="13">
        <v>3</v>
      </c>
      <c r="D163" s="11">
        <f>VLOOKUP(B163,[1]lantai9!$B:$G,6,FALSE)</f>
        <v>14500</v>
      </c>
      <c r="E163" s="11">
        <f>VLOOKUP(B163,karyawan!B:D,3,FALSE)</f>
        <v>13500</v>
      </c>
      <c r="F163" s="11" t="str">
        <f>VLOOKUP(B163,karyawan!B:E,4,FALSE)</f>
        <v>Compliance</v>
      </c>
      <c r="G163" s="12">
        <v>6</v>
      </c>
      <c r="H163" s="12"/>
      <c r="I163" s="13">
        <v>5</v>
      </c>
      <c r="J163" s="13">
        <v>0</v>
      </c>
      <c r="K163" s="14">
        <f t="shared" si="6"/>
        <v>6</v>
      </c>
      <c r="L163" s="13">
        <v>0</v>
      </c>
      <c r="M163" s="13">
        <f t="shared" si="8"/>
        <v>5</v>
      </c>
      <c r="N163" s="15">
        <f t="shared" si="7"/>
        <v>72500</v>
      </c>
    </row>
    <row r="164" spans="1:14" ht="15" thickBot="1" x14ac:dyDescent="0.35">
      <c r="A164" s="16">
        <v>46148</v>
      </c>
      <c r="B164" s="17" t="s">
        <v>30</v>
      </c>
      <c r="C164" s="13">
        <v>3</v>
      </c>
      <c r="D164" s="11">
        <f>VLOOKUP(B164,[1]lantai9!$B:$G,6,FALSE)</f>
        <v>3500</v>
      </c>
      <c r="E164" s="11">
        <f>VLOOKUP(B164,karyawan!B:D,3,FALSE)</f>
        <v>2500</v>
      </c>
      <c r="F164" s="11" t="str">
        <f>VLOOKUP(B164,karyawan!B:E,4,FALSE)</f>
        <v>Compliance</v>
      </c>
      <c r="G164" s="12">
        <v>20</v>
      </c>
      <c r="H164" s="12"/>
      <c r="I164" s="12">
        <v>0</v>
      </c>
      <c r="J164" s="13">
        <v>0</v>
      </c>
      <c r="K164" s="14">
        <f t="shared" si="6"/>
        <v>20</v>
      </c>
      <c r="L164" s="13">
        <v>0</v>
      </c>
      <c r="M164" s="13">
        <f t="shared" si="8"/>
        <v>0</v>
      </c>
      <c r="N164" s="15">
        <f t="shared" si="7"/>
        <v>0</v>
      </c>
    </row>
    <row r="165" spans="1:14" ht="15" thickBot="1" x14ac:dyDescent="0.35">
      <c r="A165" s="16">
        <v>46148</v>
      </c>
      <c r="B165" s="10" t="s">
        <v>12</v>
      </c>
      <c r="C165" s="13">
        <v>8</v>
      </c>
      <c r="D165" s="11">
        <f>VLOOKUP(B165,[1]lantai9!$B:$G,6,FALSE)</f>
        <v>35000</v>
      </c>
      <c r="E165" s="11">
        <f>VLOOKUP(B165,karyawan!B:D,3,FALSE)</f>
        <v>34000</v>
      </c>
      <c r="F165" s="11" t="str">
        <f>VLOOKUP(B165,karyawan!B:E,4,FALSE)</f>
        <v>Florida</v>
      </c>
      <c r="G165" s="12">
        <v>5</v>
      </c>
      <c r="H165" s="12"/>
      <c r="I165" s="13">
        <v>4</v>
      </c>
      <c r="J165" s="13">
        <v>5</v>
      </c>
      <c r="K165" s="14">
        <f t="shared" si="6"/>
        <v>1</v>
      </c>
      <c r="L165" s="12">
        <v>4</v>
      </c>
      <c r="M165" s="13">
        <f t="shared" si="8"/>
        <v>0</v>
      </c>
      <c r="N165" s="15">
        <f t="shared" si="7"/>
        <v>0</v>
      </c>
    </row>
    <row r="166" spans="1:14" ht="15" thickBot="1" x14ac:dyDescent="0.35">
      <c r="A166" s="16">
        <v>46148</v>
      </c>
      <c r="B166" s="10" t="s">
        <v>13</v>
      </c>
      <c r="C166" s="13">
        <v>8</v>
      </c>
      <c r="D166" s="11">
        <f>VLOOKUP(B166,[1]lantai9!$B:$G,6,FALSE)</f>
        <v>23000</v>
      </c>
      <c r="E166" s="11">
        <f>VLOOKUP(B166,karyawan!B:D,3,FALSE)</f>
        <v>22000</v>
      </c>
      <c r="F166" s="11" t="str">
        <f>VLOOKUP(B166,karyawan!B:E,4,FALSE)</f>
        <v>Yohannes</v>
      </c>
      <c r="G166" s="12">
        <v>6</v>
      </c>
      <c r="H166" s="12"/>
      <c r="I166" s="13">
        <v>5</v>
      </c>
      <c r="J166" s="13">
        <v>4</v>
      </c>
      <c r="K166" s="14">
        <f t="shared" si="6"/>
        <v>6</v>
      </c>
      <c r="L166" s="13">
        <v>0</v>
      </c>
      <c r="M166" s="13">
        <f t="shared" si="8"/>
        <v>5</v>
      </c>
      <c r="N166" s="15">
        <f t="shared" si="7"/>
        <v>115000</v>
      </c>
    </row>
    <row r="167" spans="1:14" ht="15" thickBot="1" x14ac:dyDescent="0.35">
      <c r="A167" s="16">
        <v>46148</v>
      </c>
      <c r="B167" s="10" t="s">
        <v>14</v>
      </c>
      <c r="C167" s="13">
        <v>8</v>
      </c>
      <c r="D167" s="11">
        <f>VLOOKUP(B167,[1]lantai9!$B:$G,6,FALSE)</f>
        <v>21000</v>
      </c>
      <c r="E167" s="11">
        <f>VLOOKUP(B167,karyawan!B:D,3,FALSE)</f>
        <v>20000</v>
      </c>
      <c r="F167" s="11" t="str">
        <f>VLOOKUP(B167,karyawan!B:E,4,FALSE)</f>
        <v>Damaz</v>
      </c>
      <c r="G167" s="12">
        <v>2</v>
      </c>
      <c r="H167" s="12"/>
      <c r="I167" s="13">
        <v>1</v>
      </c>
      <c r="J167" s="13">
        <v>1</v>
      </c>
      <c r="K167" s="14">
        <f t="shared" si="6"/>
        <v>1</v>
      </c>
      <c r="L167" s="13">
        <v>1</v>
      </c>
      <c r="M167" s="13">
        <f t="shared" si="8"/>
        <v>0</v>
      </c>
      <c r="N167" s="15">
        <f t="shared" si="7"/>
        <v>0</v>
      </c>
    </row>
    <row r="168" spans="1:14" ht="15" thickBot="1" x14ac:dyDescent="0.35">
      <c r="A168" s="16">
        <v>46148</v>
      </c>
      <c r="B168" s="10" t="s">
        <v>15</v>
      </c>
      <c r="C168" s="13">
        <v>8</v>
      </c>
      <c r="D168" s="11">
        <f>VLOOKUP(B168,[1]lantai9!$B:$G,6,FALSE)</f>
        <v>36000</v>
      </c>
      <c r="E168" s="11">
        <f>VLOOKUP(B168,karyawan!B:D,3,FALSE)</f>
        <v>35000</v>
      </c>
      <c r="F168" s="11" t="str">
        <f>VLOOKUP(B168,karyawan!B:E,4,FALSE)</f>
        <v>Damaz</v>
      </c>
      <c r="G168" s="12">
        <v>3</v>
      </c>
      <c r="H168" s="12"/>
      <c r="I168" s="13">
        <v>2</v>
      </c>
      <c r="J168" s="13">
        <v>3</v>
      </c>
      <c r="K168" s="14">
        <f t="shared" si="6"/>
        <v>1</v>
      </c>
      <c r="L168" s="13">
        <v>2</v>
      </c>
      <c r="M168" s="13">
        <f t="shared" si="8"/>
        <v>0</v>
      </c>
      <c r="N168" s="15">
        <f t="shared" si="7"/>
        <v>0</v>
      </c>
    </row>
    <row r="169" spans="1:14" ht="15" thickBot="1" x14ac:dyDescent="0.35">
      <c r="A169" s="16">
        <v>46148</v>
      </c>
      <c r="B169" s="10" t="s">
        <v>16</v>
      </c>
      <c r="C169" s="13">
        <v>8</v>
      </c>
      <c r="D169" s="11">
        <f>VLOOKUP(B169,[1]lantai9!$B:$G,6,FALSE)</f>
        <v>23000</v>
      </c>
      <c r="E169" s="11">
        <f>VLOOKUP(B169,karyawan!B:D,3,FALSE)</f>
        <v>22000</v>
      </c>
      <c r="F169" s="11" t="str">
        <f>VLOOKUP(B169,karyawan!B:E,4,FALSE)</f>
        <v>Vale</v>
      </c>
      <c r="G169" s="12">
        <v>5</v>
      </c>
      <c r="H169" s="12"/>
      <c r="I169" s="13">
        <v>0</v>
      </c>
      <c r="J169" s="13">
        <v>1</v>
      </c>
      <c r="K169" s="14">
        <f t="shared" si="6"/>
        <v>5</v>
      </c>
      <c r="L169" s="13">
        <v>0</v>
      </c>
      <c r="M169" s="13">
        <f t="shared" si="8"/>
        <v>0</v>
      </c>
      <c r="N169" s="15">
        <f t="shared" si="7"/>
        <v>0</v>
      </c>
    </row>
    <row r="170" spans="1:14" ht="15" thickBot="1" x14ac:dyDescent="0.35">
      <c r="A170" s="16">
        <v>46148</v>
      </c>
      <c r="B170" s="10" t="s">
        <v>17</v>
      </c>
      <c r="C170" s="13">
        <v>8</v>
      </c>
      <c r="D170" s="11">
        <f>VLOOKUP(B170,[1]lantai9!$B:$G,6,FALSE)</f>
        <v>15000</v>
      </c>
      <c r="E170" s="11">
        <f>VLOOKUP(B170,karyawan!B:D,3,FALSE)</f>
        <v>14000</v>
      </c>
      <c r="F170" s="11" t="str">
        <f>VLOOKUP(B170,karyawan!B:E,4,FALSE)</f>
        <v>Desy</v>
      </c>
      <c r="G170" s="12">
        <v>6</v>
      </c>
      <c r="H170" s="12"/>
      <c r="I170" s="13">
        <v>6</v>
      </c>
      <c r="J170" s="13">
        <v>6</v>
      </c>
      <c r="K170" s="14">
        <f t="shared" si="6"/>
        <v>2</v>
      </c>
      <c r="L170" s="13">
        <v>4</v>
      </c>
      <c r="M170" s="13">
        <f t="shared" si="8"/>
        <v>2</v>
      </c>
      <c r="N170" s="15">
        <f t="shared" si="7"/>
        <v>30000</v>
      </c>
    </row>
    <row r="171" spans="1:14" ht="15" thickBot="1" x14ac:dyDescent="0.35">
      <c r="A171" s="16">
        <v>46148</v>
      </c>
      <c r="B171" s="10" t="s">
        <v>18</v>
      </c>
      <c r="C171" s="13">
        <v>8</v>
      </c>
      <c r="D171" s="11">
        <f>VLOOKUP(B171,[1]lantai9!$B:$G,6,FALSE)</f>
        <v>18000</v>
      </c>
      <c r="E171" s="11">
        <f>VLOOKUP(B171,karyawan!B:D,3,FALSE)</f>
        <v>17000</v>
      </c>
      <c r="F171" s="11" t="str">
        <f>VLOOKUP(B171,karyawan!B:E,4,FALSE)</f>
        <v>Geby</v>
      </c>
      <c r="G171" s="12">
        <v>6</v>
      </c>
      <c r="H171" s="12"/>
      <c r="I171" s="13">
        <v>1</v>
      </c>
      <c r="J171" s="13">
        <v>2</v>
      </c>
      <c r="K171" s="14">
        <f t="shared" si="6"/>
        <v>5</v>
      </c>
      <c r="L171" s="13">
        <v>1</v>
      </c>
      <c r="M171" s="13">
        <f t="shared" si="8"/>
        <v>0</v>
      </c>
      <c r="N171" s="15">
        <f t="shared" si="7"/>
        <v>0</v>
      </c>
    </row>
    <row r="172" spans="1:14" ht="15" thickBot="1" x14ac:dyDescent="0.35">
      <c r="A172" s="16">
        <v>46148</v>
      </c>
      <c r="B172" s="10" t="s">
        <v>19</v>
      </c>
      <c r="C172" s="13">
        <v>8</v>
      </c>
      <c r="D172" s="11">
        <f>VLOOKUP(B172,[1]lantai9!$B:$G,6,FALSE)</f>
        <v>21000</v>
      </c>
      <c r="E172" s="11">
        <f>VLOOKUP(B172,karyawan!B:D,3,FALSE)</f>
        <v>20000</v>
      </c>
      <c r="F172" s="11" t="str">
        <f>VLOOKUP(B172,karyawan!B:E,4,FALSE)</f>
        <v>Geby</v>
      </c>
      <c r="G172" s="12">
        <v>2</v>
      </c>
      <c r="H172" s="12"/>
      <c r="I172" s="13">
        <v>1</v>
      </c>
      <c r="J172" s="13">
        <v>1</v>
      </c>
      <c r="K172" s="14">
        <f t="shared" si="6"/>
        <v>2</v>
      </c>
      <c r="L172" s="13">
        <v>0</v>
      </c>
      <c r="M172" s="13">
        <f t="shared" si="8"/>
        <v>1</v>
      </c>
      <c r="N172" s="15">
        <f t="shared" si="7"/>
        <v>21000</v>
      </c>
    </row>
    <row r="173" spans="1:14" ht="15" thickBot="1" x14ac:dyDescent="0.35">
      <c r="A173" s="16">
        <v>46148</v>
      </c>
      <c r="B173" s="10" t="s">
        <v>20</v>
      </c>
      <c r="C173" s="13">
        <v>8</v>
      </c>
      <c r="D173" s="11">
        <f>VLOOKUP(B173,[1]lantai9!$B:$G,6,FALSE)</f>
        <v>35000</v>
      </c>
      <c r="E173" s="11">
        <f>VLOOKUP(B173,karyawan!B:D,3,FALSE)</f>
        <v>34000</v>
      </c>
      <c r="F173" s="11" t="str">
        <f>VLOOKUP(B173,karyawan!B:E,4,FALSE)</f>
        <v>Sherly</v>
      </c>
      <c r="G173" s="12">
        <v>2</v>
      </c>
      <c r="H173" s="12"/>
      <c r="I173" s="13">
        <v>1</v>
      </c>
      <c r="J173" s="13">
        <v>0</v>
      </c>
      <c r="K173" s="14">
        <f t="shared" si="6"/>
        <v>2</v>
      </c>
      <c r="L173" s="13">
        <v>0</v>
      </c>
      <c r="M173" s="13">
        <f t="shared" si="8"/>
        <v>1</v>
      </c>
      <c r="N173" s="15">
        <f t="shared" si="7"/>
        <v>35000</v>
      </c>
    </row>
    <row r="174" spans="1:14" ht="15" thickBot="1" x14ac:dyDescent="0.35">
      <c r="A174" s="16">
        <v>46148</v>
      </c>
      <c r="B174" s="10" t="s">
        <v>21</v>
      </c>
      <c r="C174" s="13">
        <v>8</v>
      </c>
      <c r="D174" s="11">
        <f>VLOOKUP(B174,[1]lantai9!$B:$G,6,FALSE)</f>
        <v>40000</v>
      </c>
      <c r="E174" s="11">
        <f>VLOOKUP(B174,karyawan!B:D,3,FALSE)</f>
        <v>39000</v>
      </c>
      <c r="F174" s="11" t="str">
        <f>VLOOKUP(B174,karyawan!B:E,4,FALSE)</f>
        <v>Sherly</v>
      </c>
      <c r="G174" s="12">
        <v>4</v>
      </c>
      <c r="H174" s="12"/>
      <c r="I174" s="13">
        <v>3</v>
      </c>
      <c r="J174" s="13">
        <v>1</v>
      </c>
      <c r="K174" s="14">
        <f t="shared" si="6"/>
        <v>4</v>
      </c>
      <c r="L174" s="13">
        <v>0</v>
      </c>
      <c r="M174" s="13">
        <f t="shared" si="8"/>
        <v>3</v>
      </c>
      <c r="N174" s="15">
        <f t="shared" si="7"/>
        <v>120000</v>
      </c>
    </row>
    <row r="175" spans="1:14" ht="15" thickBot="1" x14ac:dyDescent="0.35">
      <c r="A175" s="16">
        <v>46148</v>
      </c>
      <c r="B175" s="10" t="s">
        <v>22</v>
      </c>
      <c r="C175" s="13">
        <v>8</v>
      </c>
      <c r="D175" s="11">
        <f>VLOOKUP(B175,[1]lantai9!$B:$G,6,FALSE)</f>
        <v>2500</v>
      </c>
      <c r="E175" s="11">
        <f>VLOOKUP(B175,karyawan!B:D,3,FALSE)</f>
        <v>1480</v>
      </c>
      <c r="F175" s="11" t="str">
        <f>VLOOKUP(B175,karyawan!B:E,4,FALSE)</f>
        <v>Compliance</v>
      </c>
      <c r="G175" s="12">
        <v>12</v>
      </c>
      <c r="H175" s="12"/>
      <c r="I175" s="13">
        <v>6</v>
      </c>
      <c r="J175" s="13">
        <v>5</v>
      </c>
      <c r="K175" s="14">
        <f t="shared" si="6"/>
        <v>12</v>
      </c>
      <c r="L175" s="13">
        <v>0</v>
      </c>
      <c r="M175" s="13">
        <f t="shared" si="8"/>
        <v>6</v>
      </c>
      <c r="N175" s="15">
        <f t="shared" si="7"/>
        <v>15000</v>
      </c>
    </row>
    <row r="176" spans="1:14" ht="15" thickBot="1" x14ac:dyDescent="0.35">
      <c r="A176" s="16">
        <v>46148</v>
      </c>
      <c r="B176" s="10" t="s">
        <v>23</v>
      </c>
      <c r="C176" s="13">
        <v>8</v>
      </c>
      <c r="D176" s="11">
        <f>VLOOKUP(B176,[1]lantai9!$B:$G,6,FALSE)</f>
        <v>2000</v>
      </c>
      <c r="E176" s="11">
        <f>VLOOKUP(B176,karyawan!B:D,3,FALSE)</f>
        <v>1074</v>
      </c>
      <c r="F176" s="11" t="str">
        <f>VLOOKUP(B176,karyawan!B:E,4,FALSE)</f>
        <v>Compliance</v>
      </c>
      <c r="G176" s="12">
        <v>10</v>
      </c>
      <c r="H176" s="12"/>
      <c r="I176" s="13">
        <v>8</v>
      </c>
      <c r="J176" s="13">
        <v>-5</v>
      </c>
      <c r="K176" s="14">
        <f t="shared" si="6"/>
        <v>9</v>
      </c>
      <c r="L176" s="13">
        <v>1</v>
      </c>
      <c r="M176" s="13">
        <f t="shared" si="8"/>
        <v>7</v>
      </c>
      <c r="N176" s="15">
        <f t="shared" si="7"/>
        <v>14000</v>
      </c>
    </row>
    <row r="177" spans="1:14" ht="15" thickBot="1" x14ac:dyDescent="0.35">
      <c r="A177" s="16">
        <v>46148</v>
      </c>
      <c r="B177" s="10" t="s">
        <v>24</v>
      </c>
      <c r="C177" s="13">
        <v>8</v>
      </c>
      <c r="D177" s="11">
        <f>VLOOKUP(B177,[1]lantai9!$B:$G,6,FALSE)</f>
        <v>2500</v>
      </c>
      <c r="E177" s="11">
        <f>VLOOKUP(B177,karyawan!B:D,3,FALSE)</f>
        <v>1465</v>
      </c>
      <c r="F177" s="11" t="str">
        <f>VLOOKUP(B177,karyawan!B:E,4,FALSE)</f>
        <v>Compliance</v>
      </c>
      <c r="G177" s="12">
        <v>10</v>
      </c>
      <c r="H177" s="12"/>
      <c r="I177" s="13">
        <v>2</v>
      </c>
      <c r="J177" s="13">
        <v>5</v>
      </c>
      <c r="K177" s="14">
        <f t="shared" si="6"/>
        <v>6</v>
      </c>
      <c r="L177" s="13">
        <v>4</v>
      </c>
      <c r="M177" s="13">
        <f t="shared" si="8"/>
        <v>0</v>
      </c>
      <c r="N177" s="15">
        <f t="shared" si="7"/>
        <v>0</v>
      </c>
    </row>
    <row r="178" spans="1:14" ht="15" thickBot="1" x14ac:dyDescent="0.35">
      <c r="A178" s="16">
        <v>46148</v>
      </c>
      <c r="B178" s="10" t="s">
        <v>25</v>
      </c>
      <c r="C178" s="13">
        <v>8</v>
      </c>
      <c r="D178" s="11">
        <f>VLOOKUP(B178,[1]lantai9!$B:$G,6,FALSE)</f>
        <v>10000</v>
      </c>
      <c r="E178" s="11">
        <f>VLOOKUP(B178,karyawan!B:D,3,FALSE)</f>
        <v>9200</v>
      </c>
      <c r="F178" s="11" t="str">
        <f>VLOOKUP(B178,karyawan!B:E,4,FALSE)</f>
        <v>Compliance</v>
      </c>
      <c r="G178" s="12">
        <v>15</v>
      </c>
      <c r="H178" s="12"/>
      <c r="I178" s="13">
        <v>15</v>
      </c>
      <c r="J178" s="13">
        <v>11</v>
      </c>
      <c r="K178" s="14">
        <f t="shared" si="6"/>
        <v>4</v>
      </c>
      <c r="L178" s="13">
        <v>11</v>
      </c>
      <c r="M178" s="13">
        <f t="shared" si="8"/>
        <v>4</v>
      </c>
      <c r="N178" s="15">
        <f t="shared" si="7"/>
        <v>40000</v>
      </c>
    </row>
    <row r="179" spans="1:14" ht="15" thickBot="1" x14ac:dyDescent="0.35">
      <c r="A179" s="16">
        <v>46148</v>
      </c>
      <c r="B179" s="10" t="s">
        <v>26</v>
      </c>
      <c r="C179" s="13">
        <v>8</v>
      </c>
      <c r="D179" s="11">
        <f>VLOOKUP(B179,[1]lantai9!$B:$G,6,FALSE)</f>
        <v>15000</v>
      </c>
      <c r="E179" s="11">
        <f>VLOOKUP(B179,karyawan!B:D,3,FALSE)</f>
        <v>13807</v>
      </c>
      <c r="F179" s="11" t="str">
        <f>VLOOKUP(B179,karyawan!B:E,4,FALSE)</f>
        <v>Compliance</v>
      </c>
      <c r="G179" s="12">
        <v>10</v>
      </c>
      <c r="H179" s="12"/>
      <c r="I179" s="13">
        <v>0</v>
      </c>
      <c r="J179" s="13">
        <v>1</v>
      </c>
      <c r="K179" s="14">
        <f t="shared" si="6"/>
        <v>10</v>
      </c>
      <c r="L179" s="13">
        <v>0</v>
      </c>
      <c r="M179" s="13">
        <f t="shared" si="8"/>
        <v>0</v>
      </c>
      <c r="N179" s="15">
        <f t="shared" si="7"/>
        <v>0</v>
      </c>
    </row>
    <row r="180" spans="1:14" ht="15" thickBot="1" x14ac:dyDescent="0.35">
      <c r="A180" s="16">
        <v>46148</v>
      </c>
      <c r="B180" s="10" t="s">
        <v>27</v>
      </c>
      <c r="C180" s="13">
        <v>8</v>
      </c>
      <c r="D180" s="11">
        <f>VLOOKUP(B180,[1]lantai9!$B:$G,6,FALSE)</f>
        <v>23000</v>
      </c>
      <c r="E180" s="11">
        <f>VLOOKUP(B180,karyawan!B:D,3,FALSE)</f>
        <v>21760</v>
      </c>
      <c r="F180" s="11" t="str">
        <f>VLOOKUP(B180,karyawan!B:E,4,FALSE)</f>
        <v>Compliance</v>
      </c>
      <c r="G180" s="12">
        <v>7</v>
      </c>
      <c r="H180" s="12"/>
      <c r="I180" s="13">
        <v>5</v>
      </c>
      <c r="J180" s="13">
        <v>6</v>
      </c>
      <c r="K180" s="14">
        <f t="shared" si="6"/>
        <v>2</v>
      </c>
      <c r="L180" s="13">
        <v>5</v>
      </c>
      <c r="M180" s="13">
        <f t="shared" si="8"/>
        <v>0</v>
      </c>
      <c r="N180" s="15">
        <f t="shared" si="7"/>
        <v>0</v>
      </c>
    </row>
    <row r="181" spans="1:14" ht="15" thickBot="1" x14ac:dyDescent="0.35">
      <c r="A181" s="16">
        <v>46148</v>
      </c>
      <c r="B181" s="10" t="s">
        <v>28</v>
      </c>
      <c r="C181" s="13">
        <v>8</v>
      </c>
      <c r="D181" s="11">
        <f>VLOOKUP(B181,[1]lantai9!$B:$G,6,FALSE)</f>
        <v>11000</v>
      </c>
      <c r="E181" s="11">
        <f>VLOOKUP(B181,karyawan!B:D,3,FALSE)</f>
        <v>10000</v>
      </c>
      <c r="F181" s="11" t="str">
        <f>VLOOKUP(B181,karyawan!B:E,4,FALSE)</f>
        <v>Compliance</v>
      </c>
      <c r="G181" s="12">
        <v>8</v>
      </c>
      <c r="H181" s="12"/>
      <c r="I181" s="13">
        <v>6</v>
      </c>
      <c r="J181" s="13">
        <v>5</v>
      </c>
      <c r="K181" s="14">
        <f t="shared" si="6"/>
        <v>3</v>
      </c>
      <c r="L181" s="13">
        <v>5</v>
      </c>
      <c r="M181" s="13">
        <f t="shared" si="8"/>
        <v>1</v>
      </c>
      <c r="N181" s="15">
        <f t="shared" si="7"/>
        <v>11000</v>
      </c>
    </row>
    <row r="182" spans="1:14" ht="15" thickBot="1" x14ac:dyDescent="0.35">
      <c r="A182" s="16">
        <v>46148</v>
      </c>
      <c r="B182" s="10" t="s">
        <v>29</v>
      </c>
      <c r="C182" s="13">
        <v>8</v>
      </c>
      <c r="D182" s="11">
        <f>VLOOKUP(B182,[1]lantai9!$B:$G,6,FALSE)</f>
        <v>14500</v>
      </c>
      <c r="E182" s="11">
        <f>VLOOKUP(B182,karyawan!B:D,3,FALSE)</f>
        <v>13500</v>
      </c>
      <c r="F182" s="11" t="str">
        <f>VLOOKUP(B182,karyawan!B:E,4,FALSE)</f>
        <v>Compliance</v>
      </c>
      <c r="G182" s="12">
        <v>6</v>
      </c>
      <c r="H182" s="12"/>
      <c r="I182" s="13">
        <v>5</v>
      </c>
      <c r="J182" s="13">
        <v>0</v>
      </c>
      <c r="K182" s="14">
        <f t="shared" si="6"/>
        <v>6</v>
      </c>
      <c r="L182" s="13">
        <v>0</v>
      </c>
      <c r="M182" s="13">
        <f t="shared" si="8"/>
        <v>5</v>
      </c>
      <c r="N182" s="15">
        <f t="shared" si="7"/>
        <v>72500</v>
      </c>
    </row>
    <row r="183" spans="1:14" ht="15" thickBot="1" x14ac:dyDescent="0.35">
      <c r="A183" s="16">
        <v>46148</v>
      </c>
      <c r="B183" s="10" t="s">
        <v>30</v>
      </c>
      <c r="C183" s="13">
        <v>8</v>
      </c>
      <c r="D183" s="11">
        <f>VLOOKUP(B183,[1]lantai9!$B:$G,6,FALSE)</f>
        <v>3500</v>
      </c>
      <c r="E183" s="11">
        <f>VLOOKUP(B183,karyawan!B:D,3,FALSE)</f>
        <v>2500</v>
      </c>
      <c r="F183" s="11" t="str">
        <f>VLOOKUP(B183,karyawan!B:E,4,FALSE)</f>
        <v>Compliance</v>
      </c>
      <c r="G183" s="12">
        <v>20</v>
      </c>
      <c r="H183" s="12"/>
      <c r="I183" s="13">
        <v>0</v>
      </c>
      <c r="J183" s="13">
        <v>0</v>
      </c>
      <c r="K183" s="14">
        <f t="shared" si="6"/>
        <v>20</v>
      </c>
      <c r="L183" s="13">
        <v>0</v>
      </c>
      <c r="M183" s="13">
        <f t="shared" si="8"/>
        <v>0</v>
      </c>
      <c r="N183" s="15">
        <f t="shared" si="7"/>
        <v>0</v>
      </c>
    </row>
    <row r="184" spans="1:14" ht="15" thickBot="1" x14ac:dyDescent="0.35">
      <c r="A184" s="16">
        <v>46148</v>
      </c>
      <c r="B184" s="10" t="s">
        <v>12</v>
      </c>
      <c r="C184" s="13">
        <v>9</v>
      </c>
      <c r="D184" s="11">
        <f>VLOOKUP(B184,[1]lantai9!$B:$G,6,FALSE)</f>
        <v>35000</v>
      </c>
      <c r="E184" s="11">
        <f>VLOOKUP(B184,karyawan!B:D,3,FALSE)</f>
        <v>34000</v>
      </c>
      <c r="F184" s="11" t="str">
        <f>VLOOKUP(B184,karyawan!B:E,4,FALSE)</f>
        <v>Florida</v>
      </c>
      <c r="G184" s="12">
        <v>5</v>
      </c>
      <c r="H184" s="12"/>
      <c r="I184" s="13">
        <v>0</v>
      </c>
      <c r="J184" s="13">
        <v>0</v>
      </c>
      <c r="K184" s="14">
        <f t="shared" si="6"/>
        <v>5</v>
      </c>
      <c r="L184" s="13">
        <v>0</v>
      </c>
      <c r="M184" s="13">
        <f t="shared" si="8"/>
        <v>0</v>
      </c>
      <c r="N184" s="15">
        <f t="shared" si="7"/>
        <v>0</v>
      </c>
    </row>
    <row r="185" spans="1:14" ht="15" thickBot="1" x14ac:dyDescent="0.35">
      <c r="A185" s="16">
        <v>46148</v>
      </c>
      <c r="B185" s="10" t="s">
        <v>13</v>
      </c>
      <c r="C185" s="13">
        <v>9</v>
      </c>
      <c r="D185" s="11">
        <f>VLOOKUP(B185,[1]lantai9!$B:$G,6,FALSE)</f>
        <v>23000</v>
      </c>
      <c r="E185" s="11">
        <f>VLOOKUP(B185,karyawan!B:D,3,FALSE)</f>
        <v>22000</v>
      </c>
      <c r="F185" s="11" t="str">
        <f>VLOOKUP(B185,karyawan!B:E,4,FALSE)</f>
        <v>Yohannes</v>
      </c>
      <c r="G185" s="12">
        <v>6</v>
      </c>
      <c r="H185" s="12"/>
      <c r="I185" s="12">
        <v>7</v>
      </c>
      <c r="J185" s="12">
        <v>6</v>
      </c>
      <c r="K185" s="14">
        <f t="shared" si="6"/>
        <v>4</v>
      </c>
      <c r="L185" s="12">
        <v>2</v>
      </c>
      <c r="M185" s="13">
        <f t="shared" si="8"/>
        <v>5</v>
      </c>
      <c r="N185" s="15">
        <f t="shared" si="7"/>
        <v>115000</v>
      </c>
    </row>
    <row r="186" spans="1:14" ht="15" thickBot="1" x14ac:dyDescent="0.35">
      <c r="A186" s="16">
        <v>46148</v>
      </c>
      <c r="B186" s="10" t="s">
        <v>14</v>
      </c>
      <c r="C186" s="13">
        <v>9</v>
      </c>
      <c r="D186" s="11">
        <f>VLOOKUP(B186,[1]lantai9!$B:$G,6,FALSE)</f>
        <v>21000</v>
      </c>
      <c r="E186" s="11">
        <f>VLOOKUP(B186,karyawan!B:D,3,FALSE)</f>
        <v>20000</v>
      </c>
      <c r="F186" s="11" t="str">
        <f>VLOOKUP(B186,karyawan!B:E,4,FALSE)</f>
        <v>Damaz</v>
      </c>
      <c r="G186" s="12">
        <v>2</v>
      </c>
      <c r="H186" s="12"/>
      <c r="I186" s="13">
        <v>2</v>
      </c>
      <c r="J186" s="13">
        <v>0</v>
      </c>
      <c r="K186" s="14">
        <f t="shared" si="6"/>
        <v>2</v>
      </c>
      <c r="L186" s="13">
        <v>0</v>
      </c>
      <c r="M186" s="13">
        <f t="shared" si="8"/>
        <v>2</v>
      </c>
      <c r="N186" s="15">
        <f t="shared" si="7"/>
        <v>42000</v>
      </c>
    </row>
    <row r="187" spans="1:14" ht="15" thickBot="1" x14ac:dyDescent="0.35">
      <c r="A187" s="16">
        <v>46148</v>
      </c>
      <c r="B187" s="10" t="s">
        <v>15</v>
      </c>
      <c r="C187" s="13">
        <v>9</v>
      </c>
      <c r="D187" s="11">
        <f>VLOOKUP(B187,[1]lantai9!$B:$G,6,FALSE)</f>
        <v>36000</v>
      </c>
      <c r="E187" s="11">
        <f>VLOOKUP(B187,karyawan!B:D,3,FALSE)</f>
        <v>35000</v>
      </c>
      <c r="F187" s="11" t="str">
        <f>VLOOKUP(B187,karyawan!B:E,4,FALSE)</f>
        <v>Damaz</v>
      </c>
      <c r="G187" s="12">
        <v>3</v>
      </c>
      <c r="H187" s="12"/>
      <c r="I187" s="13">
        <v>0</v>
      </c>
      <c r="J187" s="13">
        <v>0</v>
      </c>
      <c r="K187" s="14">
        <f t="shared" si="6"/>
        <v>3</v>
      </c>
      <c r="L187" s="13">
        <v>0</v>
      </c>
      <c r="M187" s="13">
        <f t="shared" si="8"/>
        <v>0</v>
      </c>
      <c r="N187" s="15">
        <f t="shared" si="7"/>
        <v>0</v>
      </c>
    </row>
    <row r="188" spans="1:14" ht="15" thickBot="1" x14ac:dyDescent="0.35">
      <c r="A188" s="16">
        <v>46148</v>
      </c>
      <c r="B188" s="10" t="s">
        <v>16</v>
      </c>
      <c r="C188" s="13">
        <v>9</v>
      </c>
      <c r="D188" s="11">
        <f>VLOOKUP(B188,[1]lantai9!$B:$G,6,FALSE)</f>
        <v>23000</v>
      </c>
      <c r="E188" s="11">
        <f>VLOOKUP(B188,karyawan!B:D,3,FALSE)</f>
        <v>22000</v>
      </c>
      <c r="F188" s="11" t="str">
        <f>VLOOKUP(B188,karyawan!B:E,4,FALSE)</f>
        <v>Vale</v>
      </c>
      <c r="G188" s="12">
        <v>5</v>
      </c>
      <c r="H188" s="12"/>
      <c r="I188" s="13">
        <v>0</v>
      </c>
      <c r="J188" s="13">
        <v>0</v>
      </c>
      <c r="K188" s="14">
        <f t="shared" si="6"/>
        <v>5</v>
      </c>
      <c r="L188" s="13">
        <v>0</v>
      </c>
      <c r="M188" s="13">
        <f t="shared" si="8"/>
        <v>0</v>
      </c>
      <c r="N188" s="15">
        <f t="shared" si="7"/>
        <v>0</v>
      </c>
    </row>
    <row r="189" spans="1:14" ht="15" thickBot="1" x14ac:dyDescent="0.35">
      <c r="A189" s="16">
        <v>46148</v>
      </c>
      <c r="B189" s="10" t="s">
        <v>17</v>
      </c>
      <c r="C189" s="13">
        <v>9</v>
      </c>
      <c r="D189" s="11">
        <f>VLOOKUP(B189,[1]lantai9!$B:$G,6,FALSE)</f>
        <v>15000</v>
      </c>
      <c r="E189" s="11">
        <f>VLOOKUP(B189,karyawan!B:D,3,FALSE)</f>
        <v>14000</v>
      </c>
      <c r="F189" s="11" t="str">
        <f>VLOOKUP(B189,karyawan!B:E,4,FALSE)</f>
        <v>Desy</v>
      </c>
      <c r="G189" s="12">
        <v>6</v>
      </c>
      <c r="H189" s="12"/>
      <c r="I189" s="13">
        <v>4</v>
      </c>
      <c r="J189" s="12">
        <v>1</v>
      </c>
      <c r="K189" s="14">
        <f t="shared" si="6"/>
        <v>6</v>
      </c>
      <c r="L189" s="12">
        <v>0</v>
      </c>
      <c r="M189" s="13">
        <f t="shared" si="8"/>
        <v>4</v>
      </c>
      <c r="N189" s="15">
        <f t="shared" si="7"/>
        <v>60000</v>
      </c>
    </row>
    <row r="190" spans="1:14" ht="15" thickBot="1" x14ac:dyDescent="0.35">
      <c r="A190" s="16">
        <v>46148</v>
      </c>
      <c r="B190" s="10" t="s">
        <v>18</v>
      </c>
      <c r="C190" s="13">
        <v>9</v>
      </c>
      <c r="D190" s="11">
        <f>VLOOKUP(B190,[1]lantai9!$B:$G,6,FALSE)</f>
        <v>18000</v>
      </c>
      <c r="E190" s="11">
        <f>VLOOKUP(B190,karyawan!B:D,3,FALSE)</f>
        <v>17000</v>
      </c>
      <c r="F190" s="11" t="str">
        <f>VLOOKUP(B190,karyawan!B:E,4,FALSE)</f>
        <v>Geby</v>
      </c>
      <c r="G190" s="12">
        <v>6</v>
      </c>
      <c r="H190" s="12"/>
      <c r="I190" s="13">
        <v>1</v>
      </c>
      <c r="J190" s="13">
        <v>0</v>
      </c>
      <c r="K190" s="14">
        <f t="shared" si="6"/>
        <v>6</v>
      </c>
      <c r="L190" s="13">
        <v>0</v>
      </c>
      <c r="M190" s="13">
        <f t="shared" si="8"/>
        <v>1</v>
      </c>
      <c r="N190" s="15">
        <f t="shared" si="7"/>
        <v>18000</v>
      </c>
    </row>
    <row r="191" spans="1:14" ht="15" thickBot="1" x14ac:dyDescent="0.35">
      <c r="A191" s="16">
        <v>46148</v>
      </c>
      <c r="B191" s="10" t="s">
        <v>19</v>
      </c>
      <c r="C191" s="13">
        <v>9</v>
      </c>
      <c r="D191" s="11">
        <f>VLOOKUP(B191,[1]lantai9!$B:$G,6,FALSE)</f>
        <v>21000</v>
      </c>
      <c r="E191" s="11">
        <f>VLOOKUP(B191,karyawan!B:D,3,FALSE)</f>
        <v>20000</v>
      </c>
      <c r="F191" s="11" t="str">
        <f>VLOOKUP(B191,karyawan!B:E,4,FALSE)</f>
        <v>Geby</v>
      </c>
      <c r="G191" s="12">
        <v>2</v>
      </c>
      <c r="H191" s="12"/>
      <c r="I191" s="13">
        <v>0</v>
      </c>
      <c r="J191" s="13">
        <v>0</v>
      </c>
      <c r="K191" s="14">
        <f t="shared" si="6"/>
        <v>2</v>
      </c>
      <c r="L191" s="13">
        <v>0</v>
      </c>
      <c r="M191" s="13">
        <f t="shared" si="8"/>
        <v>0</v>
      </c>
      <c r="N191" s="15">
        <f t="shared" si="7"/>
        <v>0</v>
      </c>
    </row>
    <row r="192" spans="1:14" ht="15" thickBot="1" x14ac:dyDescent="0.35">
      <c r="A192" s="16">
        <v>46148</v>
      </c>
      <c r="B192" s="10" t="s">
        <v>20</v>
      </c>
      <c r="C192" s="13">
        <v>9</v>
      </c>
      <c r="D192" s="11">
        <f>VLOOKUP(B192,[1]lantai9!$B:$G,6,FALSE)</f>
        <v>35000</v>
      </c>
      <c r="E192" s="11">
        <f>VLOOKUP(B192,karyawan!B:D,3,FALSE)</f>
        <v>34000</v>
      </c>
      <c r="F192" s="11" t="str">
        <f>VLOOKUP(B192,karyawan!B:E,4,FALSE)</f>
        <v>Sherly</v>
      </c>
      <c r="G192" s="12">
        <v>2</v>
      </c>
      <c r="H192" s="12"/>
      <c r="I192" s="13">
        <v>2</v>
      </c>
      <c r="J192" s="13">
        <v>1</v>
      </c>
      <c r="K192" s="14">
        <f t="shared" si="6"/>
        <v>1</v>
      </c>
      <c r="L192" s="13">
        <v>1</v>
      </c>
      <c r="M192" s="13">
        <f t="shared" si="8"/>
        <v>1</v>
      </c>
      <c r="N192" s="15">
        <f t="shared" si="7"/>
        <v>35000</v>
      </c>
    </row>
    <row r="193" spans="1:14" ht="15" thickBot="1" x14ac:dyDescent="0.35">
      <c r="A193" s="16">
        <v>46148</v>
      </c>
      <c r="B193" s="10" t="s">
        <v>21</v>
      </c>
      <c r="C193" s="13">
        <v>9</v>
      </c>
      <c r="D193" s="11">
        <f>VLOOKUP(B193,[1]lantai9!$B:$G,6,FALSE)</f>
        <v>40000</v>
      </c>
      <c r="E193" s="11">
        <f>VLOOKUP(B193,karyawan!B:D,3,FALSE)</f>
        <v>39000</v>
      </c>
      <c r="F193" s="11" t="str">
        <f>VLOOKUP(B193,karyawan!B:E,4,FALSE)</f>
        <v>Sherly</v>
      </c>
      <c r="G193" s="12">
        <v>4</v>
      </c>
      <c r="H193" s="12"/>
      <c r="I193" s="12">
        <v>3</v>
      </c>
      <c r="J193" s="13">
        <v>3</v>
      </c>
      <c r="K193" s="14">
        <f t="shared" si="6"/>
        <v>1</v>
      </c>
      <c r="L193" s="13">
        <v>3</v>
      </c>
      <c r="M193" s="13">
        <f t="shared" si="8"/>
        <v>0</v>
      </c>
      <c r="N193" s="15">
        <f t="shared" si="7"/>
        <v>0</v>
      </c>
    </row>
    <row r="194" spans="1:14" ht="15" thickBot="1" x14ac:dyDescent="0.35">
      <c r="A194" s="16">
        <v>46148</v>
      </c>
      <c r="B194" s="10" t="s">
        <v>22</v>
      </c>
      <c r="C194" s="13">
        <v>9</v>
      </c>
      <c r="D194" s="11">
        <f>VLOOKUP(B194,[1]lantai9!$B:$G,6,FALSE)</f>
        <v>2500</v>
      </c>
      <c r="E194" s="11">
        <f>VLOOKUP(B194,karyawan!B:D,3,FALSE)</f>
        <v>1480</v>
      </c>
      <c r="F194" s="11" t="str">
        <f>VLOOKUP(B194,karyawan!B:E,4,FALSE)</f>
        <v>Compliance</v>
      </c>
      <c r="G194" s="12">
        <v>12</v>
      </c>
      <c r="H194" s="12"/>
      <c r="I194" s="13">
        <v>8</v>
      </c>
      <c r="J194" s="13">
        <v>1</v>
      </c>
      <c r="K194" s="14">
        <f t="shared" ref="K194:K257" si="9">IF($G194-$L194&lt;0,0,$G194-$L194)</f>
        <v>12</v>
      </c>
      <c r="L194" s="13">
        <v>0</v>
      </c>
      <c r="M194" s="13">
        <f t="shared" si="8"/>
        <v>8</v>
      </c>
      <c r="N194" s="15">
        <f t="shared" ref="N194:N257" si="10">M194*D194</f>
        <v>20000</v>
      </c>
    </row>
    <row r="195" spans="1:14" ht="15" thickBot="1" x14ac:dyDescent="0.35">
      <c r="A195" s="16">
        <v>46148</v>
      </c>
      <c r="B195" s="10" t="s">
        <v>23</v>
      </c>
      <c r="C195" s="13">
        <v>9</v>
      </c>
      <c r="D195" s="11">
        <f>VLOOKUP(B195,[1]lantai9!$B:$G,6,FALSE)</f>
        <v>2000</v>
      </c>
      <c r="E195" s="11">
        <f>VLOOKUP(B195,karyawan!B:D,3,FALSE)</f>
        <v>1074</v>
      </c>
      <c r="F195" s="11" t="str">
        <f>VLOOKUP(B195,karyawan!B:E,4,FALSE)</f>
        <v>Compliance</v>
      </c>
      <c r="G195" s="12">
        <v>10</v>
      </c>
      <c r="H195" s="12"/>
      <c r="I195" s="13">
        <v>0</v>
      </c>
      <c r="J195" s="13">
        <v>0</v>
      </c>
      <c r="K195" s="14">
        <f t="shared" si="9"/>
        <v>10</v>
      </c>
      <c r="L195" s="13">
        <v>0</v>
      </c>
      <c r="M195" s="13">
        <f t="shared" ref="M195:M258" si="11">MAX($I195-$L195,0)</f>
        <v>0</v>
      </c>
      <c r="N195" s="15">
        <f t="shared" si="10"/>
        <v>0</v>
      </c>
    </row>
    <row r="196" spans="1:14" ht="15" thickBot="1" x14ac:dyDescent="0.35">
      <c r="A196" s="16">
        <v>46148</v>
      </c>
      <c r="B196" s="10" t="s">
        <v>24</v>
      </c>
      <c r="C196" s="13">
        <v>9</v>
      </c>
      <c r="D196" s="11">
        <f>VLOOKUP(B196,[1]lantai9!$B:$G,6,FALSE)</f>
        <v>2500</v>
      </c>
      <c r="E196" s="11">
        <f>VLOOKUP(B196,karyawan!B:D,3,FALSE)</f>
        <v>1465</v>
      </c>
      <c r="F196" s="11" t="str">
        <f>VLOOKUP(B196,karyawan!B:E,4,FALSE)</f>
        <v>Compliance</v>
      </c>
      <c r="G196" s="12">
        <v>10</v>
      </c>
      <c r="H196" s="12"/>
      <c r="I196" s="13">
        <v>6</v>
      </c>
      <c r="J196" s="12">
        <v>-1</v>
      </c>
      <c r="K196" s="14">
        <f t="shared" si="9"/>
        <v>10</v>
      </c>
      <c r="L196" s="12">
        <v>0</v>
      </c>
      <c r="M196" s="13">
        <f t="shared" si="11"/>
        <v>6</v>
      </c>
      <c r="N196" s="15">
        <f t="shared" si="10"/>
        <v>15000</v>
      </c>
    </row>
    <row r="197" spans="1:14" ht="15" thickBot="1" x14ac:dyDescent="0.35">
      <c r="A197" s="16">
        <v>46148</v>
      </c>
      <c r="B197" s="10" t="s">
        <v>25</v>
      </c>
      <c r="C197" s="13">
        <v>9</v>
      </c>
      <c r="D197" s="11">
        <f>VLOOKUP(B197,[1]lantai9!$B:$G,6,FALSE)</f>
        <v>10000</v>
      </c>
      <c r="E197" s="11">
        <f>VLOOKUP(B197,karyawan!B:D,3,FALSE)</f>
        <v>9200</v>
      </c>
      <c r="F197" s="11" t="str">
        <f>VLOOKUP(B197,karyawan!B:E,4,FALSE)</f>
        <v>Compliance</v>
      </c>
      <c r="G197" s="12">
        <v>15</v>
      </c>
      <c r="H197" s="12"/>
      <c r="I197" s="13">
        <v>14</v>
      </c>
      <c r="J197" s="13">
        <v>9</v>
      </c>
      <c r="K197" s="14">
        <f t="shared" si="9"/>
        <v>6</v>
      </c>
      <c r="L197" s="13">
        <v>9</v>
      </c>
      <c r="M197" s="13">
        <f t="shared" si="11"/>
        <v>5</v>
      </c>
      <c r="N197" s="15">
        <f t="shared" si="10"/>
        <v>50000</v>
      </c>
    </row>
    <row r="198" spans="1:14" ht="15" thickBot="1" x14ac:dyDescent="0.35">
      <c r="A198" s="16">
        <v>46148</v>
      </c>
      <c r="B198" s="10" t="s">
        <v>26</v>
      </c>
      <c r="C198" s="13">
        <v>9</v>
      </c>
      <c r="D198" s="11">
        <f>VLOOKUP(B198,[1]lantai9!$B:$G,6,FALSE)</f>
        <v>15000</v>
      </c>
      <c r="E198" s="11">
        <f>VLOOKUP(B198,karyawan!B:D,3,FALSE)</f>
        <v>13807</v>
      </c>
      <c r="F198" s="11" t="str">
        <f>VLOOKUP(B198,karyawan!B:E,4,FALSE)</f>
        <v>Compliance</v>
      </c>
      <c r="G198" s="12">
        <v>10</v>
      </c>
      <c r="H198" s="12"/>
      <c r="I198" s="13">
        <v>0</v>
      </c>
      <c r="J198" s="13">
        <v>0</v>
      </c>
      <c r="K198" s="14">
        <f t="shared" si="9"/>
        <v>10</v>
      </c>
      <c r="L198" s="13">
        <v>0</v>
      </c>
      <c r="M198" s="13">
        <f t="shared" si="11"/>
        <v>0</v>
      </c>
      <c r="N198" s="15">
        <f t="shared" si="10"/>
        <v>0</v>
      </c>
    </row>
    <row r="199" spans="1:14" ht="15" thickBot="1" x14ac:dyDescent="0.35">
      <c r="A199" s="16">
        <v>46148</v>
      </c>
      <c r="B199" s="10" t="s">
        <v>27</v>
      </c>
      <c r="C199" s="13">
        <v>9</v>
      </c>
      <c r="D199" s="11">
        <f>VLOOKUP(B199,[1]lantai9!$B:$G,6,FALSE)</f>
        <v>23000</v>
      </c>
      <c r="E199" s="11">
        <f>VLOOKUP(B199,karyawan!B:D,3,FALSE)</f>
        <v>21760</v>
      </c>
      <c r="F199" s="11" t="str">
        <f>VLOOKUP(B199,karyawan!B:E,4,FALSE)</f>
        <v>Compliance</v>
      </c>
      <c r="G199" s="12">
        <v>7</v>
      </c>
      <c r="H199" s="12"/>
      <c r="I199" s="12">
        <v>6</v>
      </c>
      <c r="J199" s="13">
        <v>3</v>
      </c>
      <c r="K199" s="14">
        <f t="shared" si="9"/>
        <v>4</v>
      </c>
      <c r="L199" s="13">
        <v>3</v>
      </c>
      <c r="M199" s="13">
        <f t="shared" si="11"/>
        <v>3</v>
      </c>
      <c r="N199" s="15">
        <f t="shared" si="10"/>
        <v>69000</v>
      </c>
    </row>
    <row r="200" spans="1:14" ht="15" thickBot="1" x14ac:dyDescent="0.35">
      <c r="A200" s="16">
        <v>46148</v>
      </c>
      <c r="B200" s="10" t="s">
        <v>28</v>
      </c>
      <c r="C200" s="13">
        <v>9</v>
      </c>
      <c r="D200" s="11">
        <f>VLOOKUP(B200,[1]lantai9!$B:$G,6,FALSE)</f>
        <v>11000</v>
      </c>
      <c r="E200" s="11">
        <f>VLOOKUP(B200,karyawan!B:D,3,FALSE)</f>
        <v>10000</v>
      </c>
      <c r="F200" s="11" t="str">
        <f>VLOOKUP(B200,karyawan!B:E,4,FALSE)</f>
        <v>Compliance</v>
      </c>
      <c r="G200" s="12">
        <v>8</v>
      </c>
      <c r="H200" s="12"/>
      <c r="I200" s="13">
        <v>6</v>
      </c>
      <c r="J200" s="13">
        <v>3</v>
      </c>
      <c r="K200" s="14">
        <f t="shared" si="9"/>
        <v>5</v>
      </c>
      <c r="L200" s="13">
        <v>3</v>
      </c>
      <c r="M200" s="13">
        <f t="shared" si="11"/>
        <v>3</v>
      </c>
      <c r="N200" s="15">
        <f t="shared" si="10"/>
        <v>33000</v>
      </c>
    </row>
    <row r="201" spans="1:14" ht="15" thickBot="1" x14ac:dyDescent="0.35">
      <c r="A201" s="16">
        <v>46148</v>
      </c>
      <c r="B201" s="10" t="s">
        <v>29</v>
      </c>
      <c r="C201" s="13">
        <v>9</v>
      </c>
      <c r="D201" s="11">
        <f>VLOOKUP(B201,[1]lantai9!$B:$G,6,FALSE)</f>
        <v>14500</v>
      </c>
      <c r="E201" s="11">
        <f>VLOOKUP(B201,karyawan!B:D,3,FALSE)</f>
        <v>13500</v>
      </c>
      <c r="F201" s="11" t="str">
        <f>VLOOKUP(B201,karyawan!B:E,4,FALSE)</f>
        <v>Compliance</v>
      </c>
      <c r="G201" s="12">
        <v>6</v>
      </c>
      <c r="H201" s="12"/>
      <c r="I201" s="13">
        <v>5</v>
      </c>
      <c r="J201" s="13">
        <v>0</v>
      </c>
      <c r="K201" s="14">
        <f t="shared" si="9"/>
        <v>6</v>
      </c>
      <c r="L201" s="13">
        <v>0</v>
      </c>
      <c r="M201" s="13">
        <f t="shared" si="11"/>
        <v>5</v>
      </c>
      <c r="N201" s="15">
        <f t="shared" si="10"/>
        <v>72500</v>
      </c>
    </row>
    <row r="202" spans="1:14" ht="15" thickBot="1" x14ac:dyDescent="0.35">
      <c r="A202" s="16">
        <v>46148</v>
      </c>
      <c r="B202" s="10" t="s">
        <v>30</v>
      </c>
      <c r="C202" s="13">
        <v>9</v>
      </c>
      <c r="D202" s="11">
        <f>VLOOKUP(B202,[1]lantai9!$B:$G,6,FALSE)</f>
        <v>3500</v>
      </c>
      <c r="E202" s="11">
        <f>VLOOKUP(B202,karyawan!B:D,3,FALSE)</f>
        <v>2500</v>
      </c>
      <c r="F202" s="11" t="str">
        <f>VLOOKUP(B202,karyawan!B:E,4,FALSE)</f>
        <v>Compliance</v>
      </c>
      <c r="G202" s="12">
        <v>20</v>
      </c>
      <c r="H202" s="12"/>
      <c r="I202" s="12">
        <v>20</v>
      </c>
      <c r="J202" s="13">
        <v>13</v>
      </c>
      <c r="K202" s="14">
        <f t="shared" si="9"/>
        <v>9</v>
      </c>
      <c r="L202" s="13">
        <v>11</v>
      </c>
      <c r="M202" s="13">
        <f t="shared" si="11"/>
        <v>9</v>
      </c>
      <c r="N202" s="15">
        <f t="shared" si="10"/>
        <v>31500</v>
      </c>
    </row>
    <row r="203" spans="1:14" ht="15" thickBot="1" x14ac:dyDescent="0.35">
      <c r="A203" s="16">
        <v>46149</v>
      </c>
      <c r="B203" s="10" t="s">
        <v>12</v>
      </c>
      <c r="C203" s="13">
        <v>3</v>
      </c>
      <c r="D203" s="11">
        <f>VLOOKUP(B203,[1]lantai9!$B:$G,6,FALSE)</f>
        <v>35000</v>
      </c>
      <c r="E203" s="11">
        <f>VLOOKUP(B203,karyawan!B:D,3,FALSE)</f>
        <v>34000</v>
      </c>
      <c r="F203" s="11" t="str">
        <f>VLOOKUP(B203,karyawan!B:E,4,FALSE)</f>
        <v>Florida</v>
      </c>
      <c r="G203" s="12">
        <v>5</v>
      </c>
      <c r="H203" s="12"/>
      <c r="I203" s="13">
        <v>5</v>
      </c>
      <c r="J203" s="13">
        <v>2</v>
      </c>
      <c r="K203" s="14">
        <f t="shared" si="9"/>
        <v>3</v>
      </c>
      <c r="L203" s="13">
        <v>2</v>
      </c>
      <c r="M203" s="13">
        <f t="shared" si="11"/>
        <v>3</v>
      </c>
      <c r="N203" s="15">
        <f t="shared" si="10"/>
        <v>105000</v>
      </c>
    </row>
    <row r="204" spans="1:14" ht="15" thickBot="1" x14ac:dyDescent="0.35">
      <c r="A204" s="16">
        <v>46149</v>
      </c>
      <c r="B204" s="10" t="s">
        <v>13</v>
      </c>
      <c r="C204" s="13">
        <v>3</v>
      </c>
      <c r="D204" s="11">
        <f>VLOOKUP(B204,[1]lantai9!$B:$G,6,FALSE)</f>
        <v>23000</v>
      </c>
      <c r="E204" s="11">
        <f>VLOOKUP(B204,karyawan!B:D,3,FALSE)</f>
        <v>22000</v>
      </c>
      <c r="F204" s="11" t="str">
        <f>VLOOKUP(B204,karyawan!B:E,4,FALSE)</f>
        <v>Yohannes</v>
      </c>
      <c r="G204" s="12">
        <v>6</v>
      </c>
      <c r="H204" s="12"/>
      <c r="I204" s="13">
        <v>0</v>
      </c>
      <c r="J204" s="13">
        <v>9</v>
      </c>
      <c r="K204" s="14">
        <f t="shared" si="9"/>
        <v>6</v>
      </c>
      <c r="L204" s="13">
        <v>0</v>
      </c>
      <c r="M204" s="13">
        <f t="shared" si="11"/>
        <v>0</v>
      </c>
      <c r="N204" s="15">
        <f t="shared" si="10"/>
        <v>0</v>
      </c>
    </row>
    <row r="205" spans="1:14" ht="15" thickBot="1" x14ac:dyDescent="0.35">
      <c r="A205" s="16">
        <v>46149</v>
      </c>
      <c r="B205" s="10" t="s">
        <v>14</v>
      </c>
      <c r="C205" s="13">
        <v>3</v>
      </c>
      <c r="D205" s="11">
        <f>VLOOKUP(B205,[1]lantai9!$B:$G,6,FALSE)</f>
        <v>21000</v>
      </c>
      <c r="E205" s="11">
        <f>VLOOKUP(B205,karyawan!B:D,3,FALSE)</f>
        <v>20000</v>
      </c>
      <c r="F205" s="11" t="str">
        <f>VLOOKUP(B205,karyawan!B:E,4,FALSE)</f>
        <v>Damaz</v>
      </c>
      <c r="G205" s="12">
        <v>2</v>
      </c>
      <c r="H205" s="12"/>
      <c r="I205" s="13">
        <v>2</v>
      </c>
      <c r="J205" s="13">
        <v>2</v>
      </c>
      <c r="K205" s="14">
        <f t="shared" si="9"/>
        <v>0</v>
      </c>
      <c r="L205" s="13">
        <v>2</v>
      </c>
      <c r="M205" s="13">
        <f t="shared" si="11"/>
        <v>0</v>
      </c>
      <c r="N205" s="15">
        <f t="shared" si="10"/>
        <v>0</v>
      </c>
    </row>
    <row r="206" spans="1:14" ht="15" thickBot="1" x14ac:dyDescent="0.35">
      <c r="A206" s="16">
        <v>46149</v>
      </c>
      <c r="B206" s="10" t="s">
        <v>15</v>
      </c>
      <c r="C206" s="13">
        <v>3</v>
      </c>
      <c r="D206" s="11">
        <f>VLOOKUP(B206,[1]lantai9!$B:$G,6,FALSE)</f>
        <v>36000</v>
      </c>
      <c r="E206" s="11">
        <f>VLOOKUP(B206,karyawan!B:D,3,FALSE)</f>
        <v>35000</v>
      </c>
      <c r="F206" s="11" t="str">
        <f>VLOOKUP(B206,karyawan!B:E,4,FALSE)</f>
        <v>Damaz</v>
      </c>
      <c r="G206" s="12">
        <v>3</v>
      </c>
      <c r="H206" s="12"/>
      <c r="I206" s="13">
        <v>3</v>
      </c>
      <c r="J206" s="13">
        <v>3</v>
      </c>
      <c r="K206" s="14">
        <f t="shared" si="9"/>
        <v>0</v>
      </c>
      <c r="L206" s="13">
        <v>3</v>
      </c>
      <c r="M206" s="13">
        <f t="shared" si="11"/>
        <v>0</v>
      </c>
      <c r="N206" s="15">
        <f t="shared" si="10"/>
        <v>0</v>
      </c>
    </row>
    <row r="207" spans="1:14" ht="15" thickBot="1" x14ac:dyDescent="0.35">
      <c r="A207" s="16">
        <v>46149</v>
      </c>
      <c r="B207" s="10" t="s">
        <v>16</v>
      </c>
      <c r="C207" s="13">
        <v>3</v>
      </c>
      <c r="D207" s="11">
        <f>VLOOKUP(B207,[1]lantai9!$B:$G,6,FALSE)</f>
        <v>23000</v>
      </c>
      <c r="E207" s="11">
        <f>VLOOKUP(B207,karyawan!B:D,3,FALSE)</f>
        <v>22000</v>
      </c>
      <c r="F207" s="11" t="str">
        <f>VLOOKUP(B207,karyawan!B:E,4,FALSE)</f>
        <v>Vale</v>
      </c>
      <c r="G207" s="12">
        <v>5</v>
      </c>
      <c r="H207" s="12"/>
      <c r="I207" s="13">
        <v>0</v>
      </c>
      <c r="J207" s="13">
        <v>0</v>
      </c>
      <c r="K207" s="14">
        <f t="shared" si="9"/>
        <v>5</v>
      </c>
      <c r="L207" s="13">
        <v>0</v>
      </c>
      <c r="M207" s="13">
        <f t="shared" si="11"/>
        <v>0</v>
      </c>
      <c r="N207" s="15">
        <f t="shared" si="10"/>
        <v>0</v>
      </c>
    </row>
    <row r="208" spans="1:14" ht="15" thickBot="1" x14ac:dyDescent="0.35">
      <c r="A208" s="16">
        <v>46149</v>
      </c>
      <c r="B208" s="10" t="s">
        <v>17</v>
      </c>
      <c r="C208" s="13">
        <v>3</v>
      </c>
      <c r="D208" s="11">
        <f>VLOOKUP(B208,[1]lantai9!$B:$G,6,FALSE)</f>
        <v>15000</v>
      </c>
      <c r="E208" s="11">
        <f>VLOOKUP(B208,karyawan!B:D,3,FALSE)</f>
        <v>14000</v>
      </c>
      <c r="F208" s="11" t="str">
        <f>VLOOKUP(B208,karyawan!B:E,4,FALSE)</f>
        <v>Desy</v>
      </c>
      <c r="G208" s="12">
        <v>6</v>
      </c>
      <c r="H208" s="12"/>
      <c r="I208" s="12">
        <v>6</v>
      </c>
      <c r="J208" s="13">
        <v>-1</v>
      </c>
      <c r="K208" s="14">
        <f t="shared" si="9"/>
        <v>5</v>
      </c>
      <c r="L208" s="13">
        <v>1</v>
      </c>
      <c r="M208" s="13">
        <f t="shared" si="11"/>
        <v>5</v>
      </c>
      <c r="N208" s="15">
        <f t="shared" si="10"/>
        <v>75000</v>
      </c>
    </row>
    <row r="209" spans="1:14" ht="15" thickBot="1" x14ac:dyDescent="0.35">
      <c r="A209" s="16">
        <v>46149</v>
      </c>
      <c r="B209" s="10" t="s">
        <v>18</v>
      </c>
      <c r="C209" s="13">
        <v>3</v>
      </c>
      <c r="D209" s="11">
        <f>VLOOKUP(B209,[1]lantai9!$B:$G,6,FALSE)</f>
        <v>18000</v>
      </c>
      <c r="E209" s="11">
        <f>VLOOKUP(B209,karyawan!B:D,3,FALSE)</f>
        <v>17000</v>
      </c>
      <c r="F209" s="11" t="str">
        <f>VLOOKUP(B209,karyawan!B:E,4,FALSE)</f>
        <v>Geby</v>
      </c>
      <c r="G209" s="12">
        <v>6</v>
      </c>
      <c r="H209" s="12"/>
      <c r="I209" s="13">
        <v>0</v>
      </c>
      <c r="J209" s="18"/>
      <c r="K209" s="14">
        <f t="shared" si="9"/>
        <v>6</v>
      </c>
      <c r="L209" s="18"/>
      <c r="M209" s="13">
        <f t="shared" si="11"/>
        <v>0</v>
      </c>
      <c r="N209" s="15">
        <f t="shared" si="10"/>
        <v>0</v>
      </c>
    </row>
    <row r="210" spans="1:14" ht="15" thickBot="1" x14ac:dyDescent="0.35">
      <c r="A210" s="16">
        <v>46149</v>
      </c>
      <c r="B210" s="10" t="s">
        <v>19</v>
      </c>
      <c r="C210" s="13">
        <v>3</v>
      </c>
      <c r="D210" s="11">
        <f>VLOOKUP(B210,[1]lantai9!$B:$G,6,FALSE)</f>
        <v>21000</v>
      </c>
      <c r="E210" s="11">
        <f>VLOOKUP(B210,karyawan!B:D,3,FALSE)</f>
        <v>20000</v>
      </c>
      <c r="F210" s="11" t="str">
        <f>VLOOKUP(B210,karyawan!B:E,4,FALSE)</f>
        <v>Geby</v>
      </c>
      <c r="G210" s="12">
        <v>2</v>
      </c>
      <c r="H210" s="12"/>
      <c r="I210" s="13">
        <v>0</v>
      </c>
      <c r="J210" s="18"/>
      <c r="K210" s="14">
        <f t="shared" si="9"/>
        <v>2</v>
      </c>
      <c r="L210" s="18"/>
      <c r="M210" s="13">
        <f t="shared" si="11"/>
        <v>0</v>
      </c>
      <c r="N210" s="15">
        <f t="shared" si="10"/>
        <v>0</v>
      </c>
    </row>
    <row r="211" spans="1:14" ht="15" thickBot="1" x14ac:dyDescent="0.35">
      <c r="A211" s="16">
        <v>46149</v>
      </c>
      <c r="B211" s="10" t="s">
        <v>20</v>
      </c>
      <c r="C211" s="13">
        <v>3</v>
      </c>
      <c r="D211" s="11">
        <f>VLOOKUP(B211,[1]lantai9!$B:$G,6,FALSE)</f>
        <v>35000</v>
      </c>
      <c r="E211" s="11">
        <f>VLOOKUP(B211,karyawan!B:D,3,FALSE)</f>
        <v>34000</v>
      </c>
      <c r="F211" s="11" t="str">
        <f>VLOOKUP(B211,karyawan!B:E,4,FALSE)</f>
        <v>Sherly</v>
      </c>
      <c r="G211" s="12">
        <v>2</v>
      </c>
      <c r="H211" s="12"/>
      <c r="I211" s="13">
        <v>2</v>
      </c>
      <c r="J211" s="13">
        <v>3</v>
      </c>
      <c r="K211" s="14">
        <f t="shared" si="9"/>
        <v>0</v>
      </c>
      <c r="L211" s="13">
        <v>2</v>
      </c>
      <c r="M211" s="13">
        <f t="shared" si="11"/>
        <v>0</v>
      </c>
      <c r="N211" s="15">
        <f t="shared" si="10"/>
        <v>0</v>
      </c>
    </row>
    <row r="212" spans="1:14" ht="15" thickBot="1" x14ac:dyDescent="0.35">
      <c r="A212" s="16">
        <v>46149</v>
      </c>
      <c r="B212" s="10" t="s">
        <v>21</v>
      </c>
      <c r="C212" s="13">
        <v>3</v>
      </c>
      <c r="D212" s="11">
        <f>VLOOKUP(B212,[1]lantai9!$B:$G,6,FALSE)</f>
        <v>40000</v>
      </c>
      <c r="E212" s="11">
        <f>VLOOKUP(B212,karyawan!B:D,3,FALSE)</f>
        <v>39000</v>
      </c>
      <c r="F212" s="11" t="str">
        <f>VLOOKUP(B212,karyawan!B:E,4,FALSE)</f>
        <v>Sherly</v>
      </c>
      <c r="G212" s="12">
        <v>4</v>
      </c>
      <c r="H212" s="12"/>
      <c r="I212" s="13">
        <v>4</v>
      </c>
      <c r="J212" s="13">
        <v>3</v>
      </c>
      <c r="K212" s="14">
        <f t="shared" si="9"/>
        <v>1</v>
      </c>
      <c r="L212" s="13">
        <v>3</v>
      </c>
      <c r="M212" s="13">
        <f t="shared" si="11"/>
        <v>1</v>
      </c>
      <c r="N212" s="15">
        <f t="shared" si="10"/>
        <v>40000</v>
      </c>
    </row>
    <row r="213" spans="1:14" ht="15" thickBot="1" x14ac:dyDescent="0.35">
      <c r="A213" s="16">
        <v>46149</v>
      </c>
      <c r="B213" s="10" t="s">
        <v>22</v>
      </c>
      <c r="C213" s="13">
        <v>3</v>
      </c>
      <c r="D213" s="11">
        <f>VLOOKUP(B213,[1]lantai9!$B:$G,6,FALSE)</f>
        <v>2500</v>
      </c>
      <c r="E213" s="11">
        <f>VLOOKUP(B213,karyawan!B:D,3,FALSE)</f>
        <v>1480</v>
      </c>
      <c r="F213" s="11" t="str">
        <f>VLOOKUP(B213,karyawan!B:E,4,FALSE)</f>
        <v>Compliance</v>
      </c>
      <c r="G213" s="12">
        <v>12</v>
      </c>
      <c r="H213" s="12"/>
      <c r="I213" s="12">
        <v>3</v>
      </c>
      <c r="J213" s="13">
        <v>3</v>
      </c>
      <c r="K213" s="14">
        <f t="shared" si="9"/>
        <v>9</v>
      </c>
      <c r="L213" s="13">
        <v>3</v>
      </c>
      <c r="M213" s="13">
        <f t="shared" si="11"/>
        <v>0</v>
      </c>
      <c r="N213" s="15">
        <f t="shared" si="10"/>
        <v>0</v>
      </c>
    </row>
    <row r="214" spans="1:14" ht="15" thickBot="1" x14ac:dyDescent="0.35">
      <c r="A214" s="16">
        <v>46149</v>
      </c>
      <c r="B214" s="10" t="s">
        <v>23</v>
      </c>
      <c r="C214" s="13">
        <v>3</v>
      </c>
      <c r="D214" s="11">
        <f>VLOOKUP(B214,[1]lantai9!$B:$G,6,FALSE)</f>
        <v>2000</v>
      </c>
      <c r="E214" s="11">
        <f>VLOOKUP(B214,karyawan!B:D,3,FALSE)</f>
        <v>1074</v>
      </c>
      <c r="F214" s="11" t="str">
        <f>VLOOKUP(B214,karyawan!B:E,4,FALSE)</f>
        <v>Compliance</v>
      </c>
      <c r="G214" s="12">
        <v>10</v>
      </c>
      <c r="H214" s="12"/>
      <c r="I214" s="13">
        <v>6</v>
      </c>
      <c r="J214" s="13">
        <v>10</v>
      </c>
      <c r="K214" s="14">
        <f t="shared" si="9"/>
        <v>10</v>
      </c>
      <c r="L214" s="13">
        <v>0</v>
      </c>
      <c r="M214" s="13">
        <f t="shared" si="11"/>
        <v>6</v>
      </c>
      <c r="N214" s="15">
        <f t="shared" si="10"/>
        <v>12000</v>
      </c>
    </row>
    <row r="215" spans="1:14" ht="15" thickBot="1" x14ac:dyDescent="0.35">
      <c r="A215" s="16">
        <v>46149</v>
      </c>
      <c r="B215" s="10" t="s">
        <v>24</v>
      </c>
      <c r="C215" s="13">
        <v>3</v>
      </c>
      <c r="D215" s="11">
        <f>VLOOKUP(B215,[1]lantai9!$B:$G,6,FALSE)</f>
        <v>2500</v>
      </c>
      <c r="E215" s="11">
        <f>VLOOKUP(B215,karyawan!B:D,3,FALSE)</f>
        <v>1465</v>
      </c>
      <c r="F215" s="11" t="str">
        <f>VLOOKUP(B215,karyawan!B:E,4,FALSE)</f>
        <v>Compliance</v>
      </c>
      <c r="G215" s="12">
        <v>10</v>
      </c>
      <c r="H215" s="12"/>
      <c r="I215" s="13">
        <v>0</v>
      </c>
      <c r="J215" s="13">
        <v>8</v>
      </c>
      <c r="K215" s="14">
        <f t="shared" si="9"/>
        <v>10</v>
      </c>
      <c r="L215" s="13">
        <v>0</v>
      </c>
      <c r="M215" s="13">
        <f t="shared" si="11"/>
        <v>0</v>
      </c>
      <c r="N215" s="15">
        <f t="shared" si="10"/>
        <v>0</v>
      </c>
    </row>
    <row r="216" spans="1:14" ht="15" thickBot="1" x14ac:dyDescent="0.35">
      <c r="A216" s="16">
        <v>46149</v>
      </c>
      <c r="B216" s="10" t="s">
        <v>25</v>
      </c>
      <c r="C216" s="13">
        <v>3</v>
      </c>
      <c r="D216" s="11">
        <f>VLOOKUP(B216,[1]lantai9!$B:$G,6,FALSE)</f>
        <v>10000</v>
      </c>
      <c r="E216" s="11">
        <f>VLOOKUP(B216,karyawan!B:D,3,FALSE)</f>
        <v>9200</v>
      </c>
      <c r="F216" s="11" t="str">
        <f>VLOOKUP(B216,karyawan!B:E,4,FALSE)</f>
        <v>Compliance</v>
      </c>
      <c r="G216" s="12">
        <v>15</v>
      </c>
      <c r="H216" s="12"/>
      <c r="I216" s="13">
        <v>15</v>
      </c>
      <c r="J216" s="13">
        <v>13</v>
      </c>
      <c r="K216" s="14">
        <f t="shared" si="9"/>
        <v>1</v>
      </c>
      <c r="L216" s="13">
        <v>14</v>
      </c>
      <c r="M216" s="13">
        <f t="shared" si="11"/>
        <v>1</v>
      </c>
      <c r="N216" s="15">
        <f t="shared" si="10"/>
        <v>10000</v>
      </c>
    </row>
    <row r="217" spans="1:14" ht="15" thickBot="1" x14ac:dyDescent="0.35">
      <c r="A217" s="16">
        <v>46149</v>
      </c>
      <c r="B217" s="10" t="s">
        <v>26</v>
      </c>
      <c r="C217" s="13">
        <v>3</v>
      </c>
      <c r="D217" s="11">
        <f>VLOOKUP(B217,[1]lantai9!$B:$G,6,FALSE)</f>
        <v>15000</v>
      </c>
      <c r="E217" s="11">
        <f>VLOOKUP(B217,karyawan!B:D,3,FALSE)</f>
        <v>13807</v>
      </c>
      <c r="F217" s="11" t="str">
        <f>VLOOKUP(B217,karyawan!B:E,4,FALSE)</f>
        <v>Compliance</v>
      </c>
      <c r="G217" s="12">
        <v>10</v>
      </c>
      <c r="H217" s="12"/>
      <c r="I217" s="13">
        <v>0</v>
      </c>
      <c r="J217" s="13">
        <v>4</v>
      </c>
      <c r="K217" s="14">
        <f t="shared" si="9"/>
        <v>10</v>
      </c>
      <c r="L217" s="13">
        <v>0</v>
      </c>
      <c r="M217" s="13">
        <f t="shared" si="11"/>
        <v>0</v>
      </c>
      <c r="N217" s="15">
        <f t="shared" si="10"/>
        <v>0</v>
      </c>
    </row>
    <row r="218" spans="1:14" ht="15" thickBot="1" x14ac:dyDescent="0.35">
      <c r="A218" s="16">
        <v>46149</v>
      </c>
      <c r="B218" s="10" t="s">
        <v>27</v>
      </c>
      <c r="C218" s="13">
        <v>3</v>
      </c>
      <c r="D218" s="11">
        <f>VLOOKUP(B218,[1]lantai9!$B:$G,6,FALSE)</f>
        <v>23000</v>
      </c>
      <c r="E218" s="11">
        <f>VLOOKUP(B218,karyawan!B:D,3,FALSE)</f>
        <v>21760</v>
      </c>
      <c r="F218" s="11" t="str">
        <f>VLOOKUP(B218,karyawan!B:E,4,FALSE)</f>
        <v>Compliance</v>
      </c>
      <c r="G218" s="12">
        <v>7</v>
      </c>
      <c r="H218" s="12"/>
      <c r="I218" s="13">
        <v>7</v>
      </c>
      <c r="J218" s="13">
        <v>8</v>
      </c>
      <c r="K218" s="14">
        <f t="shared" si="9"/>
        <v>0</v>
      </c>
      <c r="L218" s="13">
        <v>7</v>
      </c>
      <c r="M218" s="13">
        <f t="shared" si="11"/>
        <v>0</v>
      </c>
      <c r="N218" s="15">
        <f t="shared" si="10"/>
        <v>0</v>
      </c>
    </row>
    <row r="219" spans="1:14" ht="15" thickBot="1" x14ac:dyDescent="0.35">
      <c r="A219" s="16">
        <v>46149</v>
      </c>
      <c r="B219" s="17" t="s">
        <v>28</v>
      </c>
      <c r="C219" s="13">
        <v>3</v>
      </c>
      <c r="D219" s="11">
        <f>VLOOKUP(B219,[1]lantai9!$B:$G,6,FALSE)</f>
        <v>11000</v>
      </c>
      <c r="E219" s="11">
        <f>VLOOKUP(B219,karyawan!B:D,3,FALSE)</f>
        <v>10000</v>
      </c>
      <c r="F219" s="11" t="str">
        <f>VLOOKUP(B219,karyawan!B:E,4,FALSE)</f>
        <v>Compliance</v>
      </c>
      <c r="G219" s="12">
        <v>8</v>
      </c>
      <c r="H219" s="12"/>
      <c r="I219" s="13">
        <v>2</v>
      </c>
      <c r="J219" s="13">
        <v>2</v>
      </c>
      <c r="K219" s="14">
        <f t="shared" si="9"/>
        <v>7</v>
      </c>
      <c r="L219" s="12">
        <v>1</v>
      </c>
      <c r="M219" s="13">
        <f t="shared" si="11"/>
        <v>1</v>
      </c>
      <c r="N219" s="15">
        <f t="shared" si="10"/>
        <v>11000</v>
      </c>
    </row>
    <row r="220" spans="1:14" ht="15" thickBot="1" x14ac:dyDescent="0.35">
      <c r="A220" s="16">
        <v>46149</v>
      </c>
      <c r="B220" s="17" t="s">
        <v>29</v>
      </c>
      <c r="C220" s="13">
        <v>3</v>
      </c>
      <c r="D220" s="11">
        <f>VLOOKUP(B220,[1]lantai9!$B:$G,6,FALSE)</f>
        <v>14500</v>
      </c>
      <c r="E220" s="11">
        <f>VLOOKUP(B220,karyawan!B:D,3,FALSE)</f>
        <v>13500</v>
      </c>
      <c r="F220" s="11" t="str">
        <f>VLOOKUP(B220,karyawan!B:E,4,FALSE)</f>
        <v>Compliance</v>
      </c>
      <c r="G220" s="12">
        <v>6</v>
      </c>
      <c r="H220" s="12"/>
      <c r="I220" s="13">
        <v>0</v>
      </c>
      <c r="J220" s="13">
        <v>0</v>
      </c>
      <c r="K220" s="14">
        <f t="shared" si="9"/>
        <v>6</v>
      </c>
      <c r="L220" s="13">
        <v>0</v>
      </c>
      <c r="M220" s="13">
        <f t="shared" si="11"/>
        <v>0</v>
      </c>
      <c r="N220" s="15">
        <f t="shared" si="10"/>
        <v>0</v>
      </c>
    </row>
    <row r="221" spans="1:14" ht="15" thickBot="1" x14ac:dyDescent="0.35">
      <c r="A221" s="16">
        <v>46149</v>
      </c>
      <c r="B221" s="17" t="s">
        <v>30</v>
      </c>
      <c r="C221" s="13">
        <v>3</v>
      </c>
      <c r="D221" s="11">
        <f>VLOOKUP(B221,[1]lantai9!$B:$G,6,FALSE)</f>
        <v>3500</v>
      </c>
      <c r="E221" s="11">
        <f>VLOOKUP(B221,karyawan!B:D,3,FALSE)</f>
        <v>2500</v>
      </c>
      <c r="F221" s="11" t="str">
        <f>VLOOKUP(B221,karyawan!B:E,4,FALSE)</f>
        <v>Compliance</v>
      </c>
      <c r="G221" s="12">
        <v>20</v>
      </c>
      <c r="H221" s="12"/>
      <c r="I221" s="12">
        <v>20</v>
      </c>
      <c r="J221" s="13">
        <v>20</v>
      </c>
      <c r="K221" s="14">
        <f t="shared" si="9"/>
        <v>3</v>
      </c>
      <c r="L221" s="13">
        <v>17</v>
      </c>
      <c r="M221" s="13">
        <f t="shared" si="11"/>
        <v>3</v>
      </c>
      <c r="N221" s="15">
        <f t="shared" si="10"/>
        <v>10500</v>
      </c>
    </row>
    <row r="222" spans="1:14" ht="15" thickBot="1" x14ac:dyDescent="0.35">
      <c r="A222" s="16">
        <v>46149</v>
      </c>
      <c r="B222" s="10" t="s">
        <v>12</v>
      </c>
      <c r="C222" s="13">
        <v>8</v>
      </c>
      <c r="D222" s="11">
        <f>VLOOKUP(B222,[1]lantai9!$B:$G,6,FALSE)</f>
        <v>35000</v>
      </c>
      <c r="E222" s="11">
        <f>VLOOKUP(B222,karyawan!B:D,3,FALSE)</f>
        <v>34000</v>
      </c>
      <c r="F222" s="11" t="str">
        <f>VLOOKUP(B222,karyawan!B:E,4,FALSE)</f>
        <v>Florida</v>
      </c>
      <c r="G222" s="12">
        <v>5</v>
      </c>
      <c r="H222" s="12"/>
      <c r="I222" s="13">
        <v>5</v>
      </c>
      <c r="J222" s="13">
        <v>5</v>
      </c>
      <c r="K222" s="14">
        <f t="shared" si="9"/>
        <v>1</v>
      </c>
      <c r="L222" s="12">
        <v>4</v>
      </c>
      <c r="M222" s="13">
        <f t="shared" si="11"/>
        <v>1</v>
      </c>
      <c r="N222" s="15">
        <f t="shared" si="10"/>
        <v>35000</v>
      </c>
    </row>
    <row r="223" spans="1:14" ht="15" thickBot="1" x14ac:dyDescent="0.35">
      <c r="A223" s="16">
        <v>46149</v>
      </c>
      <c r="B223" s="10" t="s">
        <v>13</v>
      </c>
      <c r="C223" s="13">
        <v>8</v>
      </c>
      <c r="D223" s="11">
        <f>VLOOKUP(B223,[1]lantai9!$B:$G,6,FALSE)</f>
        <v>23000</v>
      </c>
      <c r="E223" s="11">
        <f>VLOOKUP(B223,karyawan!B:D,3,FALSE)</f>
        <v>22000</v>
      </c>
      <c r="F223" s="11" t="str">
        <f>VLOOKUP(B223,karyawan!B:E,4,FALSE)</f>
        <v>Yohannes</v>
      </c>
      <c r="G223" s="12">
        <v>6</v>
      </c>
      <c r="H223" s="12"/>
      <c r="I223" s="13">
        <v>0</v>
      </c>
      <c r="J223" s="13">
        <v>10</v>
      </c>
      <c r="K223" s="14">
        <f t="shared" si="9"/>
        <v>6</v>
      </c>
      <c r="L223" s="13">
        <v>0</v>
      </c>
      <c r="M223" s="13">
        <f t="shared" si="11"/>
        <v>0</v>
      </c>
      <c r="N223" s="15">
        <f t="shared" si="10"/>
        <v>0</v>
      </c>
    </row>
    <row r="224" spans="1:14" ht="15" thickBot="1" x14ac:dyDescent="0.35">
      <c r="A224" s="16">
        <v>46149</v>
      </c>
      <c r="B224" s="10" t="s">
        <v>14</v>
      </c>
      <c r="C224" s="13">
        <v>8</v>
      </c>
      <c r="D224" s="11">
        <f>VLOOKUP(B224,[1]lantai9!$B:$G,6,FALSE)</f>
        <v>21000</v>
      </c>
      <c r="E224" s="11">
        <f>VLOOKUP(B224,karyawan!B:D,3,FALSE)</f>
        <v>20000</v>
      </c>
      <c r="F224" s="11" t="str">
        <f>VLOOKUP(B224,karyawan!B:E,4,FALSE)</f>
        <v>Damaz</v>
      </c>
      <c r="G224" s="12">
        <v>2</v>
      </c>
      <c r="H224" s="12"/>
      <c r="I224" s="13">
        <v>1</v>
      </c>
      <c r="J224" s="13">
        <v>1</v>
      </c>
      <c r="K224" s="14">
        <f t="shared" si="9"/>
        <v>1</v>
      </c>
      <c r="L224" s="13">
        <v>1</v>
      </c>
      <c r="M224" s="13">
        <f t="shared" si="11"/>
        <v>0</v>
      </c>
      <c r="N224" s="15">
        <f t="shared" si="10"/>
        <v>0</v>
      </c>
    </row>
    <row r="225" spans="1:14" ht="15" thickBot="1" x14ac:dyDescent="0.35">
      <c r="A225" s="16">
        <v>46149</v>
      </c>
      <c r="B225" s="10" t="s">
        <v>15</v>
      </c>
      <c r="C225" s="13">
        <v>8</v>
      </c>
      <c r="D225" s="11">
        <f>VLOOKUP(B225,[1]lantai9!$B:$G,6,FALSE)</f>
        <v>36000</v>
      </c>
      <c r="E225" s="11">
        <f>VLOOKUP(B225,karyawan!B:D,3,FALSE)</f>
        <v>35000</v>
      </c>
      <c r="F225" s="11" t="str">
        <f>VLOOKUP(B225,karyawan!B:E,4,FALSE)</f>
        <v>Damaz</v>
      </c>
      <c r="G225" s="12">
        <v>3</v>
      </c>
      <c r="H225" s="12"/>
      <c r="I225" s="13">
        <v>2</v>
      </c>
      <c r="J225" s="13">
        <v>3</v>
      </c>
      <c r="K225" s="14">
        <f t="shared" si="9"/>
        <v>1</v>
      </c>
      <c r="L225" s="13">
        <v>2</v>
      </c>
      <c r="M225" s="13">
        <f t="shared" si="11"/>
        <v>0</v>
      </c>
      <c r="N225" s="15">
        <f t="shared" si="10"/>
        <v>0</v>
      </c>
    </row>
    <row r="226" spans="1:14" ht="15" thickBot="1" x14ac:dyDescent="0.35">
      <c r="A226" s="16">
        <v>46149</v>
      </c>
      <c r="B226" s="10" t="s">
        <v>16</v>
      </c>
      <c r="C226" s="13">
        <v>8</v>
      </c>
      <c r="D226" s="11">
        <f>VLOOKUP(B226,[1]lantai9!$B:$G,6,FALSE)</f>
        <v>23000</v>
      </c>
      <c r="E226" s="11">
        <f>VLOOKUP(B226,karyawan!B:D,3,FALSE)</f>
        <v>22000</v>
      </c>
      <c r="F226" s="11" t="str">
        <f>VLOOKUP(B226,karyawan!B:E,4,FALSE)</f>
        <v>Vale</v>
      </c>
      <c r="G226" s="12">
        <v>5</v>
      </c>
      <c r="H226" s="12"/>
      <c r="I226" s="13">
        <v>0</v>
      </c>
      <c r="J226" s="13">
        <v>1</v>
      </c>
      <c r="K226" s="14">
        <f t="shared" si="9"/>
        <v>5</v>
      </c>
      <c r="L226" s="13">
        <v>0</v>
      </c>
      <c r="M226" s="13">
        <f t="shared" si="11"/>
        <v>0</v>
      </c>
      <c r="N226" s="15">
        <f t="shared" si="10"/>
        <v>0</v>
      </c>
    </row>
    <row r="227" spans="1:14" ht="15" thickBot="1" x14ac:dyDescent="0.35">
      <c r="A227" s="16">
        <v>46149</v>
      </c>
      <c r="B227" s="10" t="s">
        <v>17</v>
      </c>
      <c r="C227" s="13">
        <v>8</v>
      </c>
      <c r="D227" s="11">
        <f>VLOOKUP(B227,[1]lantai9!$B:$G,6,FALSE)</f>
        <v>15000</v>
      </c>
      <c r="E227" s="11">
        <f>VLOOKUP(B227,karyawan!B:D,3,FALSE)</f>
        <v>14000</v>
      </c>
      <c r="F227" s="11" t="str">
        <f>VLOOKUP(B227,karyawan!B:E,4,FALSE)</f>
        <v>Desy</v>
      </c>
      <c r="G227" s="12">
        <v>6</v>
      </c>
      <c r="H227" s="12"/>
      <c r="I227" s="12">
        <v>9</v>
      </c>
      <c r="J227" s="13">
        <v>10</v>
      </c>
      <c r="K227" s="14">
        <f t="shared" si="9"/>
        <v>0</v>
      </c>
      <c r="L227" s="13">
        <v>8</v>
      </c>
      <c r="M227" s="13">
        <f t="shared" si="11"/>
        <v>1</v>
      </c>
      <c r="N227" s="15">
        <f t="shared" si="10"/>
        <v>15000</v>
      </c>
    </row>
    <row r="228" spans="1:14" ht="15" thickBot="1" x14ac:dyDescent="0.35">
      <c r="A228" s="16">
        <v>46149</v>
      </c>
      <c r="B228" s="10" t="s">
        <v>18</v>
      </c>
      <c r="C228" s="13">
        <v>8</v>
      </c>
      <c r="D228" s="11">
        <f>VLOOKUP(B228,[1]lantai9!$B:$G,6,FALSE)</f>
        <v>18000</v>
      </c>
      <c r="E228" s="11">
        <f>VLOOKUP(B228,karyawan!B:D,3,FALSE)</f>
        <v>17000</v>
      </c>
      <c r="F228" s="11" t="str">
        <f>VLOOKUP(B228,karyawan!B:E,4,FALSE)</f>
        <v>Geby</v>
      </c>
      <c r="G228" s="12">
        <v>6</v>
      </c>
      <c r="H228" s="12"/>
      <c r="I228" s="13">
        <v>1</v>
      </c>
      <c r="J228" s="18"/>
      <c r="K228" s="14">
        <f t="shared" si="9"/>
        <v>5</v>
      </c>
      <c r="L228" s="13">
        <v>1</v>
      </c>
      <c r="M228" s="13">
        <f t="shared" si="11"/>
        <v>0</v>
      </c>
      <c r="N228" s="15">
        <f t="shared" si="10"/>
        <v>0</v>
      </c>
    </row>
    <row r="229" spans="1:14" ht="15" thickBot="1" x14ac:dyDescent="0.35">
      <c r="A229" s="16">
        <v>46149</v>
      </c>
      <c r="B229" s="10" t="s">
        <v>19</v>
      </c>
      <c r="C229" s="13">
        <v>8</v>
      </c>
      <c r="D229" s="11">
        <f>VLOOKUP(B229,[1]lantai9!$B:$G,6,FALSE)</f>
        <v>21000</v>
      </c>
      <c r="E229" s="11">
        <f>VLOOKUP(B229,karyawan!B:D,3,FALSE)</f>
        <v>20000</v>
      </c>
      <c r="F229" s="11" t="str">
        <f>VLOOKUP(B229,karyawan!B:E,4,FALSE)</f>
        <v>Geby</v>
      </c>
      <c r="G229" s="12">
        <v>2</v>
      </c>
      <c r="H229" s="12"/>
      <c r="I229" s="13">
        <v>0</v>
      </c>
      <c r="J229" s="18"/>
      <c r="K229" s="14">
        <f t="shared" si="9"/>
        <v>2</v>
      </c>
      <c r="L229" s="13">
        <v>0</v>
      </c>
      <c r="M229" s="13">
        <f t="shared" si="11"/>
        <v>0</v>
      </c>
      <c r="N229" s="15">
        <f t="shared" si="10"/>
        <v>0</v>
      </c>
    </row>
    <row r="230" spans="1:14" ht="15" thickBot="1" x14ac:dyDescent="0.35">
      <c r="A230" s="16">
        <v>46149</v>
      </c>
      <c r="B230" s="10" t="s">
        <v>20</v>
      </c>
      <c r="C230" s="13">
        <v>8</v>
      </c>
      <c r="D230" s="11">
        <f>VLOOKUP(B230,[1]lantai9!$B:$G,6,FALSE)</f>
        <v>35000</v>
      </c>
      <c r="E230" s="11">
        <f>VLOOKUP(B230,karyawan!B:D,3,FALSE)</f>
        <v>34000</v>
      </c>
      <c r="F230" s="11" t="str">
        <f>VLOOKUP(B230,karyawan!B:E,4,FALSE)</f>
        <v>Sherly</v>
      </c>
      <c r="G230" s="12">
        <v>2</v>
      </c>
      <c r="H230" s="12"/>
      <c r="I230" s="13">
        <v>2</v>
      </c>
      <c r="J230" s="13">
        <v>2</v>
      </c>
      <c r="K230" s="14">
        <f t="shared" si="9"/>
        <v>0</v>
      </c>
      <c r="L230" s="13">
        <v>2</v>
      </c>
      <c r="M230" s="13">
        <f t="shared" si="11"/>
        <v>0</v>
      </c>
      <c r="N230" s="15">
        <f t="shared" si="10"/>
        <v>0</v>
      </c>
    </row>
    <row r="231" spans="1:14" ht="15" thickBot="1" x14ac:dyDescent="0.35">
      <c r="A231" s="16">
        <v>46149</v>
      </c>
      <c r="B231" s="10" t="s">
        <v>21</v>
      </c>
      <c r="C231" s="13">
        <v>8</v>
      </c>
      <c r="D231" s="11">
        <f>VLOOKUP(B231,[1]lantai9!$B:$G,6,FALSE)</f>
        <v>40000</v>
      </c>
      <c r="E231" s="11">
        <f>VLOOKUP(B231,karyawan!B:D,3,FALSE)</f>
        <v>39000</v>
      </c>
      <c r="F231" s="11" t="str">
        <f>VLOOKUP(B231,karyawan!B:E,4,FALSE)</f>
        <v>Sherly</v>
      </c>
      <c r="G231" s="12">
        <v>4</v>
      </c>
      <c r="H231" s="12"/>
      <c r="I231" s="13">
        <v>4</v>
      </c>
      <c r="J231" s="13">
        <v>3</v>
      </c>
      <c r="K231" s="14">
        <f t="shared" si="9"/>
        <v>2</v>
      </c>
      <c r="L231" s="13">
        <v>2</v>
      </c>
      <c r="M231" s="13">
        <f t="shared" si="11"/>
        <v>2</v>
      </c>
      <c r="N231" s="15">
        <f t="shared" si="10"/>
        <v>80000</v>
      </c>
    </row>
    <row r="232" spans="1:14" ht="15" thickBot="1" x14ac:dyDescent="0.35">
      <c r="A232" s="16">
        <v>46149</v>
      </c>
      <c r="B232" s="10" t="s">
        <v>22</v>
      </c>
      <c r="C232" s="13">
        <v>8</v>
      </c>
      <c r="D232" s="11">
        <f>VLOOKUP(B232,[1]lantai9!$B:$G,6,FALSE)</f>
        <v>2500</v>
      </c>
      <c r="E232" s="11">
        <f>VLOOKUP(B232,karyawan!B:D,3,FALSE)</f>
        <v>1480</v>
      </c>
      <c r="F232" s="11" t="str">
        <f>VLOOKUP(B232,karyawan!B:E,4,FALSE)</f>
        <v>Compliance</v>
      </c>
      <c r="G232" s="12">
        <v>12</v>
      </c>
      <c r="H232" s="12"/>
      <c r="I232" s="12">
        <v>4</v>
      </c>
      <c r="J232" s="13">
        <v>9</v>
      </c>
      <c r="K232" s="14">
        <f t="shared" si="9"/>
        <v>8</v>
      </c>
      <c r="L232" s="13">
        <v>4</v>
      </c>
      <c r="M232" s="13">
        <f t="shared" si="11"/>
        <v>0</v>
      </c>
      <c r="N232" s="15">
        <f t="shared" si="10"/>
        <v>0</v>
      </c>
    </row>
    <row r="233" spans="1:14" ht="15" thickBot="1" x14ac:dyDescent="0.35">
      <c r="A233" s="16">
        <v>46149</v>
      </c>
      <c r="B233" s="10" t="s">
        <v>23</v>
      </c>
      <c r="C233" s="13">
        <v>8</v>
      </c>
      <c r="D233" s="11">
        <f>VLOOKUP(B233,[1]lantai9!$B:$G,6,FALSE)</f>
        <v>2000</v>
      </c>
      <c r="E233" s="11">
        <f>VLOOKUP(B233,karyawan!B:D,3,FALSE)</f>
        <v>1074</v>
      </c>
      <c r="F233" s="11" t="str">
        <f>VLOOKUP(B233,karyawan!B:E,4,FALSE)</f>
        <v>Compliance</v>
      </c>
      <c r="G233" s="12">
        <v>10</v>
      </c>
      <c r="H233" s="12"/>
      <c r="I233" s="13">
        <v>1</v>
      </c>
      <c r="J233" s="13">
        <v>-6</v>
      </c>
      <c r="K233" s="14">
        <f t="shared" si="9"/>
        <v>10</v>
      </c>
      <c r="L233" s="13">
        <v>0</v>
      </c>
      <c r="M233" s="13">
        <f t="shared" si="11"/>
        <v>1</v>
      </c>
      <c r="N233" s="15">
        <f t="shared" si="10"/>
        <v>2000</v>
      </c>
    </row>
    <row r="234" spans="1:14" ht="15" thickBot="1" x14ac:dyDescent="0.35">
      <c r="A234" s="16">
        <v>46149</v>
      </c>
      <c r="B234" s="10" t="s">
        <v>24</v>
      </c>
      <c r="C234" s="13">
        <v>8</v>
      </c>
      <c r="D234" s="11">
        <f>VLOOKUP(B234,[1]lantai9!$B:$G,6,FALSE)</f>
        <v>2500</v>
      </c>
      <c r="E234" s="11">
        <f>VLOOKUP(B234,karyawan!B:D,3,FALSE)</f>
        <v>1465</v>
      </c>
      <c r="F234" s="11" t="str">
        <f>VLOOKUP(B234,karyawan!B:E,4,FALSE)</f>
        <v>Compliance</v>
      </c>
      <c r="G234" s="12">
        <v>10</v>
      </c>
      <c r="H234" s="12"/>
      <c r="I234" s="13">
        <v>4</v>
      </c>
      <c r="J234" s="13">
        <v>1</v>
      </c>
      <c r="K234" s="14">
        <f t="shared" si="9"/>
        <v>10</v>
      </c>
      <c r="L234" s="13">
        <v>0</v>
      </c>
      <c r="M234" s="13">
        <f t="shared" si="11"/>
        <v>4</v>
      </c>
      <c r="N234" s="15">
        <f t="shared" si="10"/>
        <v>10000</v>
      </c>
    </row>
    <row r="235" spans="1:14" ht="15" thickBot="1" x14ac:dyDescent="0.35">
      <c r="A235" s="16">
        <v>46149</v>
      </c>
      <c r="B235" s="10" t="s">
        <v>25</v>
      </c>
      <c r="C235" s="13">
        <v>8</v>
      </c>
      <c r="D235" s="11">
        <f>VLOOKUP(B235,[1]lantai9!$B:$G,6,FALSE)</f>
        <v>10000</v>
      </c>
      <c r="E235" s="11">
        <f>VLOOKUP(B235,karyawan!B:D,3,FALSE)</f>
        <v>9200</v>
      </c>
      <c r="F235" s="11" t="str">
        <f>VLOOKUP(B235,karyawan!B:E,4,FALSE)</f>
        <v>Compliance</v>
      </c>
      <c r="G235" s="12">
        <v>15</v>
      </c>
      <c r="H235" s="12"/>
      <c r="I235" s="13">
        <v>15</v>
      </c>
      <c r="J235" s="13">
        <v>12</v>
      </c>
      <c r="K235" s="14">
        <f t="shared" si="9"/>
        <v>3</v>
      </c>
      <c r="L235" s="13">
        <v>12</v>
      </c>
      <c r="M235" s="13">
        <f t="shared" si="11"/>
        <v>3</v>
      </c>
      <c r="N235" s="15">
        <f t="shared" si="10"/>
        <v>30000</v>
      </c>
    </row>
    <row r="236" spans="1:14" ht="15" thickBot="1" x14ac:dyDescent="0.35">
      <c r="A236" s="16">
        <v>46149</v>
      </c>
      <c r="B236" s="10" t="s">
        <v>26</v>
      </c>
      <c r="C236" s="13">
        <v>8</v>
      </c>
      <c r="D236" s="11">
        <f>VLOOKUP(B236,[1]lantai9!$B:$G,6,FALSE)</f>
        <v>15000</v>
      </c>
      <c r="E236" s="11">
        <f>VLOOKUP(B236,karyawan!B:D,3,FALSE)</f>
        <v>13807</v>
      </c>
      <c r="F236" s="11" t="str">
        <f>VLOOKUP(B236,karyawan!B:E,4,FALSE)</f>
        <v>Compliance</v>
      </c>
      <c r="G236" s="12">
        <v>10</v>
      </c>
      <c r="H236" s="12"/>
      <c r="I236" s="13">
        <v>0</v>
      </c>
      <c r="J236" s="13">
        <v>1</v>
      </c>
      <c r="K236" s="14">
        <f t="shared" si="9"/>
        <v>10</v>
      </c>
      <c r="L236" s="13">
        <v>0</v>
      </c>
      <c r="M236" s="13">
        <f t="shared" si="11"/>
        <v>0</v>
      </c>
      <c r="N236" s="15">
        <f t="shared" si="10"/>
        <v>0</v>
      </c>
    </row>
    <row r="237" spans="1:14" ht="15" thickBot="1" x14ac:dyDescent="0.35">
      <c r="A237" s="16">
        <v>46149</v>
      </c>
      <c r="B237" s="10" t="s">
        <v>27</v>
      </c>
      <c r="C237" s="13">
        <v>8</v>
      </c>
      <c r="D237" s="11">
        <f>VLOOKUP(B237,[1]lantai9!$B:$G,6,FALSE)</f>
        <v>23000</v>
      </c>
      <c r="E237" s="11">
        <f>VLOOKUP(B237,karyawan!B:D,3,FALSE)</f>
        <v>21760</v>
      </c>
      <c r="F237" s="11" t="str">
        <f>VLOOKUP(B237,karyawan!B:E,4,FALSE)</f>
        <v>Compliance</v>
      </c>
      <c r="G237" s="12">
        <v>7</v>
      </c>
      <c r="H237" s="12"/>
      <c r="I237" s="13">
        <v>7</v>
      </c>
      <c r="J237" s="13">
        <v>7</v>
      </c>
      <c r="K237" s="14">
        <f t="shared" si="9"/>
        <v>1</v>
      </c>
      <c r="L237" s="13">
        <v>6</v>
      </c>
      <c r="M237" s="13">
        <f t="shared" si="11"/>
        <v>1</v>
      </c>
      <c r="N237" s="15">
        <f t="shared" si="10"/>
        <v>23000</v>
      </c>
    </row>
    <row r="238" spans="1:14" ht="15" thickBot="1" x14ac:dyDescent="0.35">
      <c r="A238" s="16">
        <v>46149</v>
      </c>
      <c r="B238" s="10" t="s">
        <v>28</v>
      </c>
      <c r="C238" s="13">
        <v>8</v>
      </c>
      <c r="D238" s="11">
        <f>VLOOKUP(B238,[1]lantai9!$B:$G,6,FALSE)</f>
        <v>11000</v>
      </c>
      <c r="E238" s="11">
        <f>VLOOKUP(B238,karyawan!B:D,3,FALSE)</f>
        <v>10000</v>
      </c>
      <c r="F238" s="11" t="str">
        <f>VLOOKUP(B238,karyawan!B:E,4,FALSE)</f>
        <v>Compliance</v>
      </c>
      <c r="G238" s="12">
        <v>8</v>
      </c>
      <c r="H238" s="12"/>
      <c r="I238" s="13">
        <v>5</v>
      </c>
      <c r="J238" s="13">
        <v>3</v>
      </c>
      <c r="K238" s="14">
        <f t="shared" si="9"/>
        <v>5</v>
      </c>
      <c r="L238" s="13">
        <v>3</v>
      </c>
      <c r="M238" s="13">
        <f t="shared" si="11"/>
        <v>2</v>
      </c>
      <c r="N238" s="15">
        <f t="shared" si="10"/>
        <v>22000</v>
      </c>
    </row>
    <row r="239" spans="1:14" ht="15" thickBot="1" x14ac:dyDescent="0.35">
      <c r="A239" s="16">
        <v>46149</v>
      </c>
      <c r="B239" s="10" t="s">
        <v>29</v>
      </c>
      <c r="C239" s="13">
        <v>8</v>
      </c>
      <c r="D239" s="11">
        <f>VLOOKUP(B239,[1]lantai9!$B:$G,6,FALSE)</f>
        <v>14500</v>
      </c>
      <c r="E239" s="11">
        <f>VLOOKUP(B239,karyawan!B:D,3,FALSE)</f>
        <v>13500</v>
      </c>
      <c r="F239" s="11" t="str">
        <f>VLOOKUP(B239,karyawan!B:E,4,FALSE)</f>
        <v>Compliance</v>
      </c>
      <c r="G239" s="12">
        <v>6</v>
      </c>
      <c r="H239" s="12"/>
      <c r="I239" s="13">
        <v>0</v>
      </c>
      <c r="J239" s="13">
        <v>0</v>
      </c>
      <c r="K239" s="14">
        <f t="shared" si="9"/>
        <v>6</v>
      </c>
      <c r="L239" s="13">
        <v>0</v>
      </c>
      <c r="M239" s="13">
        <f t="shared" si="11"/>
        <v>0</v>
      </c>
      <c r="N239" s="15">
        <f t="shared" si="10"/>
        <v>0</v>
      </c>
    </row>
    <row r="240" spans="1:14" ht="15" thickBot="1" x14ac:dyDescent="0.35">
      <c r="A240" s="16">
        <v>46149</v>
      </c>
      <c r="B240" s="10" t="s">
        <v>30</v>
      </c>
      <c r="C240" s="13">
        <v>8</v>
      </c>
      <c r="D240" s="11">
        <f>VLOOKUP(B240,[1]lantai9!$B:$G,6,FALSE)</f>
        <v>3500</v>
      </c>
      <c r="E240" s="11">
        <f>VLOOKUP(B240,karyawan!B:D,3,FALSE)</f>
        <v>2500</v>
      </c>
      <c r="F240" s="11" t="str">
        <f>VLOOKUP(B240,karyawan!B:E,4,FALSE)</f>
        <v>Compliance</v>
      </c>
      <c r="G240" s="12">
        <v>20</v>
      </c>
      <c r="H240" s="12"/>
      <c r="I240" s="12">
        <v>20</v>
      </c>
      <c r="J240" s="13">
        <v>20</v>
      </c>
      <c r="K240" s="14">
        <f t="shared" si="9"/>
        <v>0</v>
      </c>
      <c r="L240" s="13">
        <v>20</v>
      </c>
      <c r="M240" s="13">
        <f t="shared" si="11"/>
        <v>0</v>
      </c>
      <c r="N240" s="15">
        <f t="shared" si="10"/>
        <v>0</v>
      </c>
    </row>
    <row r="241" spans="1:14" ht="15" thickBot="1" x14ac:dyDescent="0.35">
      <c r="A241" s="16">
        <v>46149</v>
      </c>
      <c r="B241" s="10" t="s">
        <v>12</v>
      </c>
      <c r="C241" s="13">
        <v>9</v>
      </c>
      <c r="D241" s="11">
        <f>VLOOKUP(B241,[1]lantai9!$B:$G,6,FALSE)</f>
        <v>35000</v>
      </c>
      <c r="E241" s="11">
        <f>VLOOKUP(B241,karyawan!B:D,3,FALSE)</f>
        <v>34000</v>
      </c>
      <c r="F241" s="11" t="str">
        <f>VLOOKUP(B241,karyawan!B:E,4,FALSE)</f>
        <v>Florida</v>
      </c>
      <c r="G241" s="12">
        <v>5</v>
      </c>
      <c r="H241" s="12"/>
      <c r="I241" s="13">
        <v>5</v>
      </c>
      <c r="J241" s="13">
        <v>4</v>
      </c>
      <c r="K241" s="14">
        <f t="shared" si="9"/>
        <v>1</v>
      </c>
      <c r="L241" s="13">
        <v>4</v>
      </c>
      <c r="M241" s="13">
        <f t="shared" si="11"/>
        <v>1</v>
      </c>
      <c r="N241" s="15">
        <f t="shared" si="10"/>
        <v>35000</v>
      </c>
    </row>
    <row r="242" spans="1:14" ht="15" thickBot="1" x14ac:dyDescent="0.35">
      <c r="A242" s="16">
        <v>46149</v>
      </c>
      <c r="B242" s="10" t="s">
        <v>13</v>
      </c>
      <c r="C242" s="13">
        <v>9</v>
      </c>
      <c r="D242" s="11">
        <f>VLOOKUP(B242,[1]lantai9!$B:$G,6,FALSE)</f>
        <v>23000</v>
      </c>
      <c r="E242" s="11">
        <f>VLOOKUP(B242,karyawan!B:D,3,FALSE)</f>
        <v>22000</v>
      </c>
      <c r="F242" s="11" t="str">
        <f>VLOOKUP(B242,karyawan!B:E,4,FALSE)</f>
        <v>Yohannes</v>
      </c>
      <c r="G242" s="12">
        <v>6</v>
      </c>
      <c r="H242" s="12"/>
      <c r="I242" s="13">
        <v>6</v>
      </c>
      <c r="J242" s="13">
        <v>4</v>
      </c>
      <c r="K242" s="14">
        <f t="shared" si="9"/>
        <v>4</v>
      </c>
      <c r="L242" s="13">
        <v>2</v>
      </c>
      <c r="M242" s="13">
        <f t="shared" si="11"/>
        <v>4</v>
      </c>
      <c r="N242" s="15">
        <f t="shared" si="10"/>
        <v>92000</v>
      </c>
    </row>
    <row r="243" spans="1:14" ht="15" thickBot="1" x14ac:dyDescent="0.35">
      <c r="A243" s="16">
        <v>46149</v>
      </c>
      <c r="B243" s="10" t="s">
        <v>14</v>
      </c>
      <c r="C243" s="13">
        <v>9</v>
      </c>
      <c r="D243" s="11">
        <f>VLOOKUP(B243,[1]lantai9!$B:$G,6,FALSE)</f>
        <v>21000</v>
      </c>
      <c r="E243" s="11">
        <f>VLOOKUP(B243,karyawan!B:D,3,FALSE)</f>
        <v>20000</v>
      </c>
      <c r="F243" s="11" t="str">
        <f>VLOOKUP(B243,karyawan!B:E,4,FALSE)</f>
        <v>Damaz</v>
      </c>
      <c r="G243" s="12">
        <v>2</v>
      </c>
      <c r="H243" s="12"/>
      <c r="I243" s="13">
        <v>0</v>
      </c>
      <c r="J243" s="13">
        <v>0</v>
      </c>
      <c r="K243" s="14">
        <f t="shared" si="9"/>
        <v>2</v>
      </c>
      <c r="L243" s="13">
        <v>0</v>
      </c>
      <c r="M243" s="13">
        <f t="shared" si="11"/>
        <v>0</v>
      </c>
      <c r="N243" s="15">
        <f t="shared" si="10"/>
        <v>0</v>
      </c>
    </row>
    <row r="244" spans="1:14" ht="15" thickBot="1" x14ac:dyDescent="0.35">
      <c r="A244" s="16">
        <v>46149</v>
      </c>
      <c r="B244" s="10" t="s">
        <v>15</v>
      </c>
      <c r="C244" s="13">
        <v>9</v>
      </c>
      <c r="D244" s="11">
        <f>VLOOKUP(B244,[1]lantai9!$B:$G,6,FALSE)</f>
        <v>36000</v>
      </c>
      <c r="E244" s="11">
        <f>VLOOKUP(B244,karyawan!B:D,3,FALSE)</f>
        <v>35000</v>
      </c>
      <c r="F244" s="11" t="str">
        <f>VLOOKUP(B244,karyawan!B:E,4,FALSE)</f>
        <v>Damaz</v>
      </c>
      <c r="G244" s="12">
        <v>3</v>
      </c>
      <c r="H244" s="12"/>
      <c r="I244" s="13">
        <v>0</v>
      </c>
      <c r="J244" s="13">
        <v>0</v>
      </c>
      <c r="K244" s="14">
        <f t="shared" si="9"/>
        <v>3</v>
      </c>
      <c r="L244" s="13">
        <v>0</v>
      </c>
      <c r="M244" s="13">
        <f t="shared" si="11"/>
        <v>0</v>
      </c>
      <c r="N244" s="15">
        <f t="shared" si="10"/>
        <v>0</v>
      </c>
    </row>
    <row r="245" spans="1:14" ht="15" thickBot="1" x14ac:dyDescent="0.35">
      <c r="A245" s="16">
        <v>46149</v>
      </c>
      <c r="B245" s="10" t="s">
        <v>16</v>
      </c>
      <c r="C245" s="13">
        <v>9</v>
      </c>
      <c r="D245" s="11">
        <f>VLOOKUP(B245,[1]lantai9!$B:$G,6,FALSE)</f>
        <v>23000</v>
      </c>
      <c r="E245" s="11">
        <f>VLOOKUP(B245,karyawan!B:D,3,FALSE)</f>
        <v>22000</v>
      </c>
      <c r="F245" s="11" t="str">
        <f>VLOOKUP(B245,karyawan!B:E,4,FALSE)</f>
        <v>Vale</v>
      </c>
      <c r="G245" s="12">
        <v>5</v>
      </c>
      <c r="H245" s="12"/>
      <c r="I245" s="13">
        <v>0</v>
      </c>
      <c r="J245" s="13">
        <v>0</v>
      </c>
      <c r="K245" s="14">
        <f t="shared" si="9"/>
        <v>5</v>
      </c>
      <c r="L245" s="13">
        <v>0</v>
      </c>
      <c r="M245" s="13">
        <f t="shared" si="11"/>
        <v>0</v>
      </c>
      <c r="N245" s="15">
        <f t="shared" si="10"/>
        <v>0</v>
      </c>
    </row>
    <row r="246" spans="1:14" ht="15" thickBot="1" x14ac:dyDescent="0.35">
      <c r="A246" s="16">
        <v>46149</v>
      </c>
      <c r="B246" s="10" t="s">
        <v>17</v>
      </c>
      <c r="C246" s="13">
        <v>9</v>
      </c>
      <c r="D246" s="11">
        <f>VLOOKUP(B246,[1]lantai9!$B:$G,6,FALSE)</f>
        <v>15000</v>
      </c>
      <c r="E246" s="11">
        <f>VLOOKUP(B246,karyawan!B:D,3,FALSE)</f>
        <v>14000</v>
      </c>
      <c r="F246" s="11" t="str">
        <f>VLOOKUP(B246,karyawan!B:E,4,FALSE)</f>
        <v>Desy</v>
      </c>
      <c r="G246" s="12">
        <v>6</v>
      </c>
      <c r="H246" s="12"/>
      <c r="I246" s="12">
        <v>5</v>
      </c>
      <c r="J246" s="12">
        <v>4</v>
      </c>
      <c r="K246" s="14">
        <f t="shared" si="9"/>
        <v>3</v>
      </c>
      <c r="L246" s="12">
        <v>3</v>
      </c>
      <c r="M246" s="13">
        <f t="shared" si="11"/>
        <v>2</v>
      </c>
      <c r="N246" s="15">
        <f t="shared" si="10"/>
        <v>30000</v>
      </c>
    </row>
    <row r="247" spans="1:14" ht="15" thickBot="1" x14ac:dyDescent="0.35">
      <c r="A247" s="16">
        <v>46149</v>
      </c>
      <c r="B247" s="10" t="s">
        <v>18</v>
      </c>
      <c r="C247" s="13">
        <v>9</v>
      </c>
      <c r="D247" s="11">
        <f>VLOOKUP(B247,[1]lantai9!$B:$G,6,FALSE)</f>
        <v>18000</v>
      </c>
      <c r="E247" s="11">
        <f>VLOOKUP(B247,karyawan!B:D,3,FALSE)</f>
        <v>17000</v>
      </c>
      <c r="F247" s="11" t="str">
        <f>VLOOKUP(B247,karyawan!B:E,4,FALSE)</f>
        <v>Geby</v>
      </c>
      <c r="G247" s="12">
        <v>6</v>
      </c>
      <c r="H247" s="12"/>
      <c r="I247" s="13">
        <v>0</v>
      </c>
      <c r="J247" s="18"/>
      <c r="K247" s="14">
        <f t="shared" si="9"/>
        <v>6</v>
      </c>
      <c r="L247" s="13">
        <v>0</v>
      </c>
      <c r="M247" s="13">
        <f t="shared" si="11"/>
        <v>0</v>
      </c>
      <c r="N247" s="15">
        <f t="shared" si="10"/>
        <v>0</v>
      </c>
    </row>
    <row r="248" spans="1:14" ht="15" thickBot="1" x14ac:dyDescent="0.35">
      <c r="A248" s="16">
        <v>46149</v>
      </c>
      <c r="B248" s="10" t="s">
        <v>19</v>
      </c>
      <c r="C248" s="13">
        <v>9</v>
      </c>
      <c r="D248" s="11">
        <f>VLOOKUP(B248,[1]lantai9!$B:$G,6,FALSE)</f>
        <v>21000</v>
      </c>
      <c r="E248" s="11">
        <f>VLOOKUP(B248,karyawan!B:D,3,FALSE)</f>
        <v>20000</v>
      </c>
      <c r="F248" s="11" t="str">
        <f>VLOOKUP(B248,karyawan!B:E,4,FALSE)</f>
        <v>Geby</v>
      </c>
      <c r="G248" s="12">
        <v>2</v>
      </c>
      <c r="H248" s="12"/>
      <c r="I248" s="13">
        <v>0</v>
      </c>
      <c r="J248" s="18"/>
      <c r="K248" s="14">
        <f t="shared" si="9"/>
        <v>2</v>
      </c>
      <c r="L248" s="13">
        <v>0</v>
      </c>
      <c r="M248" s="13">
        <f t="shared" si="11"/>
        <v>0</v>
      </c>
      <c r="N248" s="15">
        <f t="shared" si="10"/>
        <v>0</v>
      </c>
    </row>
    <row r="249" spans="1:14" ht="15" thickBot="1" x14ac:dyDescent="0.35">
      <c r="A249" s="16">
        <v>46149</v>
      </c>
      <c r="B249" s="10" t="s">
        <v>20</v>
      </c>
      <c r="C249" s="13">
        <v>9</v>
      </c>
      <c r="D249" s="11">
        <f>VLOOKUP(B249,[1]lantai9!$B:$G,6,FALSE)</f>
        <v>35000</v>
      </c>
      <c r="E249" s="11">
        <f>VLOOKUP(B249,karyawan!B:D,3,FALSE)</f>
        <v>34000</v>
      </c>
      <c r="F249" s="11" t="str">
        <f>VLOOKUP(B249,karyawan!B:E,4,FALSE)</f>
        <v>Sherly</v>
      </c>
      <c r="G249" s="12">
        <v>2</v>
      </c>
      <c r="H249" s="12"/>
      <c r="I249" s="13">
        <v>2</v>
      </c>
      <c r="J249" s="13">
        <v>2</v>
      </c>
      <c r="K249" s="14">
        <f t="shared" si="9"/>
        <v>0</v>
      </c>
      <c r="L249" s="13">
        <v>2</v>
      </c>
      <c r="M249" s="13">
        <f t="shared" si="11"/>
        <v>0</v>
      </c>
      <c r="N249" s="15">
        <f t="shared" si="10"/>
        <v>0</v>
      </c>
    </row>
    <row r="250" spans="1:14" ht="15" thickBot="1" x14ac:dyDescent="0.35">
      <c r="A250" s="16">
        <v>46149</v>
      </c>
      <c r="B250" s="10" t="s">
        <v>21</v>
      </c>
      <c r="C250" s="13">
        <v>9</v>
      </c>
      <c r="D250" s="11">
        <f>VLOOKUP(B250,[1]lantai9!$B:$G,6,FALSE)</f>
        <v>40000</v>
      </c>
      <c r="E250" s="11">
        <f>VLOOKUP(B250,karyawan!B:D,3,FALSE)</f>
        <v>39000</v>
      </c>
      <c r="F250" s="11" t="str">
        <f>VLOOKUP(B250,karyawan!B:E,4,FALSE)</f>
        <v>Sherly</v>
      </c>
      <c r="G250" s="12">
        <v>4</v>
      </c>
      <c r="H250" s="12"/>
      <c r="I250" s="13">
        <v>4</v>
      </c>
      <c r="J250" s="13">
        <v>4</v>
      </c>
      <c r="K250" s="14">
        <f t="shared" si="9"/>
        <v>1</v>
      </c>
      <c r="L250" s="13">
        <v>3</v>
      </c>
      <c r="M250" s="13">
        <f t="shared" si="11"/>
        <v>1</v>
      </c>
      <c r="N250" s="15">
        <f t="shared" si="10"/>
        <v>40000</v>
      </c>
    </row>
    <row r="251" spans="1:14" ht="15" thickBot="1" x14ac:dyDescent="0.35">
      <c r="A251" s="16">
        <v>46149</v>
      </c>
      <c r="B251" s="10" t="s">
        <v>22</v>
      </c>
      <c r="C251" s="13">
        <v>9</v>
      </c>
      <c r="D251" s="11">
        <f>VLOOKUP(B251,[1]lantai9!$B:$G,6,FALSE)</f>
        <v>2500</v>
      </c>
      <c r="E251" s="11">
        <f>VLOOKUP(B251,karyawan!B:D,3,FALSE)</f>
        <v>1480</v>
      </c>
      <c r="F251" s="11" t="str">
        <f>VLOOKUP(B251,karyawan!B:E,4,FALSE)</f>
        <v>Compliance</v>
      </c>
      <c r="G251" s="12">
        <v>12</v>
      </c>
      <c r="H251" s="12"/>
      <c r="I251" s="12">
        <v>4</v>
      </c>
      <c r="J251" s="13">
        <v>5</v>
      </c>
      <c r="K251" s="14">
        <f t="shared" si="9"/>
        <v>8</v>
      </c>
      <c r="L251" s="13">
        <v>4</v>
      </c>
      <c r="M251" s="13">
        <f t="shared" si="11"/>
        <v>0</v>
      </c>
      <c r="N251" s="15">
        <f t="shared" si="10"/>
        <v>0</v>
      </c>
    </row>
    <row r="252" spans="1:14" ht="15" thickBot="1" x14ac:dyDescent="0.35">
      <c r="A252" s="16">
        <v>46149</v>
      </c>
      <c r="B252" s="10" t="s">
        <v>23</v>
      </c>
      <c r="C252" s="13">
        <v>9</v>
      </c>
      <c r="D252" s="11">
        <f>VLOOKUP(B252,[1]lantai9!$B:$G,6,FALSE)</f>
        <v>2000</v>
      </c>
      <c r="E252" s="11">
        <f>VLOOKUP(B252,karyawan!B:D,3,FALSE)</f>
        <v>1074</v>
      </c>
      <c r="F252" s="11" t="str">
        <f>VLOOKUP(B252,karyawan!B:E,4,FALSE)</f>
        <v>Compliance</v>
      </c>
      <c r="G252" s="12">
        <v>10</v>
      </c>
      <c r="H252" s="12"/>
      <c r="I252" s="13">
        <v>0</v>
      </c>
      <c r="J252" s="13">
        <v>0</v>
      </c>
      <c r="K252" s="14">
        <f t="shared" si="9"/>
        <v>10</v>
      </c>
      <c r="L252" s="13">
        <v>0</v>
      </c>
      <c r="M252" s="13">
        <f t="shared" si="11"/>
        <v>0</v>
      </c>
      <c r="N252" s="15">
        <f t="shared" si="10"/>
        <v>0</v>
      </c>
    </row>
    <row r="253" spans="1:14" ht="15" thickBot="1" x14ac:dyDescent="0.35">
      <c r="A253" s="16">
        <v>46149</v>
      </c>
      <c r="B253" s="10" t="s">
        <v>24</v>
      </c>
      <c r="C253" s="13">
        <v>9</v>
      </c>
      <c r="D253" s="11">
        <f>VLOOKUP(B253,[1]lantai9!$B:$G,6,FALSE)</f>
        <v>2500</v>
      </c>
      <c r="E253" s="11">
        <f>VLOOKUP(B253,karyawan!B:D,3,FALSE)</f>
        <v>1465</v>
      </c>
      <c r="F253" s="11" t="str">
        <f>VLOOKUP(B253,karyawan!B:E,4,FALSE)</f>
        <v>Compliance</v>
      </c>
      <c r="G253" s="12">
        <v>10</v>
      </c>
      <c r="H253" s="12"/>
      <c r="I253" s="13">
        <v>0</v>
      </c>
      <c r="J253" s="12">
        <v>-1</v>
      </c>
      <c r="K253" s="14">
        <f t="shared" si="9"/>
        <v>10</v>
      </c>
      <c r="L253" s="12">
        <v>0</v>
      </c>
      <c r="M253" s="13">
        <f t="shared" si="11"/>
        <v>0</v>
      </c>
      <c r="N253" s="15">
        <f t="shared" si="10"/>
        <v>0</v>
      </c>
    </row>
    <row r="254" spans="1:14" ht="15" thickBot="1" x14ac:dyDescent="0.35">
      <c r="A254" s="16">
        <v>46149</v>
      </c>
      <c r="B254" s="10" t="s">
        <v>25</v>
      </c>
      <c r="C254" s="13">
        <v>9</v>
      </c>
      <c r="D254" s="11">
        <f>VLOOKUP(B254,[1]lantai9!$B:$G,6,FALSE)</f>
        <v>10000</v>
      </c>
      <c r="E254" s="11">
        <f>VLOOKUP(B254,karyawan!B:D,3,FALSE)</f>
        <v>9200</v>
      </c>
      <c r="F254" s="11" t="str">
        <f>VLOOKUP(B254,karyawan!B:E,4,FALSE)</f>
        <v>Compliance</v>
      </c>
      <c r="G254" s="12">
        <v>15</v>
      </c>
      <c r="H254" s="12"/>
      <c r="I254" s="13">
        <v>15</v>
      </c>
      <c r="J254" s="13">
        <v>13</v>
      </c>
      <c r="K254" s="14">
        <f t="shared" si="9"/>
        <v>2</v>
      </c>
      <c r="L254" s="13">
        <v>13</v>
      </c>
      <c r="M254" s="13">
        <f t="shared" si="11"/>
        <v>2</v>
      </c>
      <c r="N254" s="15">
        <f t="shared" si="10"/>
        <v>20000</v>
      </c>
    </row>
    <row r="255" spans="1:14" ht="15" thickBot="1" x14ac:dyDescent="0.35">
      <c r="A255" s="16">
        <v>46149</v>
      </c>
      <c r="B255" s="10" t="s">
        <v>26</v>
      </c>
      <c r="C255" s="13">
        <v>9</v>
      </c>
      <c r="D255" s="11">
        <f>VLOOKUP(B255,[1]lantai9!$B:$G,6,FALSE)</f>
        <v>15000</v>
      </c>
      <c r="E255" s="11">
        <f>VLOOKUP(B255,karyawan!B:D,3,FALSE)</f>
        <v>13807</v>
      </c>
      <c r="F255" s="11" t="str">
        <f>VLOOKUP(B255,karyawan!B:E,4,FALSE)</f>
        <v>Compliance</v>
      </c>
      <c r="G255" s="12">
        <v>10</v>
      </c>
      <c r="H255" s="12"/>
      <c r="I255" s="13">
        <v>0</v>
      </c>
      <c r="J255" s="13">
        <v>0</v>
      </c>
      <c r="K255" s="14">
        <f t="shared" si="9"/>
        <v>10</v>
      </c>
      <c r="L255" s="13">
        <v>0</v>
      </c>
      <c r="M255" s="13">
        <f t="shared" si="11"/>
        <v>0</v>
      </c>
      <c r="N255" s="15">
        <f t="shared" si="10"/>
        <v>0</v>
      </c>
    </row>
    <row r="256" spans="1:14" ht="15" thickBot="1" x14ac:dyDescent="0.35">
      <c r="A256" s="16">
        <v>46149</v>
      </c>
      <c r="B256" s="10" t="s">
        <v>27</v>
      </c>
      <c r="C256" s="13">
        <v>9</v>
      </c>
      <c r="D256" s="11">
        <f>VLOOKUP(B256,[1]lantai9!$B:$G,6,FALSE)</f>
        <v>23000</v>
      </c>
      <c r="E256" s="11">
        <f>VLOOKUP(B256,karyawan!B:D,3,FALSE)</f>
        <v>21760</v>
      </c>
      <c r="F256" s="11" t="str">
        <f>VLOOKUP(B256,karyawan!B:E,4,FALSE)</f>
        <v>Compliance</v>
      </c>
      <c r="G256" s="12">
        <v>7</v>
      </c>
      <c r="H256" s="12"/>
      <c r="I256" s="13">
        <v>7</v>
      </c>
      <c r="J256" s="13">
        <v>4</v>
      </c>
      <c r="K256" s="14">
        <f t="shared" si="9"/>
        <v>3</v>
      </c>
      <c r="L256" s="13">
        <v>4</v>
      </c>
      <c r="M256" s="13">
        <f t="shared" si="11"/>
        <v>3</v>
      </c>
      <c r="N256" s="15">
        <f t="shared" si="10"/>
        <v>69000</v>
      </c>
    </row>
    <row r="257" spans="1:14" ht="15" thickBot="1" x14ac:dyDescent="0.35">
      <c r="A257" s="16">
        <v>46149</v>
      </c>
      <c r="B257" s="10" t="s">
        <v>28</v>
      </c>
      <c r="C257" s="13">
        <v>9</v>
      </c>
      <c r="D257" s="11">
        <f>VLOOKUP(B257,[1]lantai9!$B:$G,6,FALSE)</f>
        <v>11000</v>
      </c>
      <c r="E257" s="11">
        <f>VLOOKUP(B257,karyawan!B:D,3,FALSE)</f>
        <v>10000</v>
      </c>
      <c r="F257" s="11" t="str">
        <f>VLOOKUP(B257,karyawan!B:E,4,FALSE)</f>
        <v>Compliance</v>
      </c>
      <c r="G257" s="12">
        <v>8</v>
      </c>
      <c r="H257" s="12"/>
      <c r="I257" s="13">
        <v>3</v>
      </c>
      <c r="J257" s="13">
        <v>2</v>
      </c>
      <c r="K257" s="14">
        <f t="shared" si="9"/>
        <v>6</v>
      </c>
      <c r="L257" s="13">
        <v>2</v>
      </c>
      <c r="M257" s="13">
        <f t="shared" si="11"/>
        <v>1</v>
      </c>
      <c r="N257" s="15">
        <f t="shared" si="10"/>
        <v>11000</v>
      </c>
    </row>
    <row r="258" spans="1:14" ht="15" thickBot="1" x14ac:dyDescent="0.35">
      <c r="A258" s="16">
        <v>46149</v>
      </c>
      <c r="B258" s="10" t="s">
        <v>29</v>
      </c>
      <c r="C258" s="13">
        <v>9</v>
      </c>
      <c r="D258" s="11">
        <f>VLOOKUP(B258,[1]lantai9!$B:$G,6,FALSE)</f>
        <v>14500</v>
      </c>
      <c r="E258" s="11">
        <f>VLOOKUP(B258,karyawan!B:D,3,FALSE)</f>
        <v>13500</v>
      </c>
      <c r="F258" s="11" t="str">
        <f>VLOOKUP(B258,karyawan!B:E,4,FALSE)</f>
        <v>Compliance</v>
      </c>
      <c r="G258" s="12">
        <v>6</v>
      </c>
      <c r="H258" s="12"/>
      <c r="I258" s="13">
        <v>0</v>
      </c>
      <c r="J258" s="13">
        <v>0</v>
      </c>
      <c r="K258" s="14">
        <f t="shared" ref="K258:K322" si="12">IF($G258-$L258&lt;0,0,$G258-$L258)</f>
        <v>6</v>
      </c>
      <c r="L258" s="13">
        <v>0</v>
      </c>
      <c r="M258" s="13">
        <f t="shared" si="11"/>
        <v>0</v>
      </c>
      <c r="N258" s="15">
        <f t="shared" ref="N258:N321" si="13">M258*D258</f>
        <v>0</v>
      </c>
    </row>
    <row r="259" spans="1:14" ht="15" thickBot="1" x14ac:dyDescent="0.35">
      <c r="A259" s="16">
        <v>46149</v>
      </c>
      <c r="B259" s="10" t="s">
        <v>30</v>
      </c>
      <c r="C259" s="13">
        <v>9</v>
      </c>
      <c r="D259" s="11">
        <f>VLOOKUP(B259,[1]lantai9!$B:$G,6,FALSE)</f>
        <v>3500</v>
      </c>
      <c r="E259" s="11">
        <f>VLOOKUP(B259,karyawan!B:D,3,FALSE)</f>
        <v>2500</v>
      </c>
      <c r="F259" s="11" t="str">
        <f>VLOOKUP(B259,karyawan!B:E,4,FALSE)</f>
        <v>Compliance</v>
      </c>
      <c r="G259" s="12">
        <v>20</v>
      </c>
      <c r="H259" s="12"/>
      <c r="I259" s="13">
        <v>11</v>
      </c>
      <c r="J259" s="13">
        <v>4</v>
      </c>
      <c r="K259" s="14">
        <f t="shared" si="12"/>
        <v>18</v>
      </c>
      <c r="L259" s="13">
        <v>2</v>
      </c>
      <c r="M259" s="13">
        <f t="shared" ref="M259:M322" si="14">MAX($I259-$L259,0)</f>
        <v>9</v>
      </c>
      <c r="N259" s="15">
        <f t="shared" si="13"/>
        <v>31500</v>
      </c>
    </row>
    <row r="260" spans="1:14" ht="15" thickBot="1" x14ac:dyDescent="0.35">
      <c r="A260" s="16">
        <v>46153</v>
      </c>
      <c r="B260" s="10" t="s">
        <v>12</v>
      </c>
      <c r="C260" s="13">
        <v>3</v>
      </c>
      <c r="D260" s="11">
        <f>VLOOKUP(B260,[1]lantai9!$B:$G,6,FALSE)</f>
        <v>35000</v>
      </c>
      <c r="E260" s="11">
        <f>VLOOKUP(B260,karyawan!B:D,3,FALSE)</f>
        <v>34000</v>
      </c>
      <c r="F260" s="11" t="str">
        <f>VLOOKUP(B260,karyawan!B:E,4,FALSE)</f>
        <v>Florida</v>
      </c>
      <c r="G260" s="12">
        <v>5</v>
      </c>
      <c r="H260" s="12"/>
      <c r="I260" s="13">
        <v>4</v>
      </c>
      <c r="J260" s="13">
        <v>4</v>
      </c>
      <c r="K260" s="14">
        <f t="shared" si="12"/>
        <v>1</v>
      </c>
      <c r="L260" s="13">
        <v>4</v>
      </c>
      <c r="M260" s="13">
        <f t="shared" si="14"/>
        <v>0</v>
      </c>
      <c r="N260" s="15">
        <f t="shared" si="13"/>
        <v>0</v>
      </c>
    </row>
    <row r="261" spans="1:14" ht="15" thickBot="1" x14ac:dyDescent="0.35">
      <c r="A261" s="16">
        <v>46153</v>
      </c>
      <c r="B261" s="10" t="s">
        <v>13</v>
      </c>
      <c r="C261" s="13">
        <v>3</v>
      </c>
      <c r="D261" s="11">
        <f>VLOOKUP(B261,[1]lantai9!$B:$G,6,FALSE)</f>
        <v>23000</v>
      </c>
      <c r="E261" s="11">
        <f>VLOOKUP(B261,karyawan!B:D,3,FALSE)</f>
        <v>22000</v>
      </c>
      <c r="F261" s="11" t="str">
        <f>VLOOKUP(B261,karyawan!B:E,4,FALSE)</f>
        <v>Yohannes</v>
      </c>
      <c r="G261" s="12">
        <v>6</v>
      </c>
      <c r="H261" s="12"/>
      <c r="I261" s="12">
        <v>2</v>
      </c>
      <c r="J261" s="13">
        <v>2</v>
      </c>
      <c r="K261" s="14">
        <f t="shared" si="12"/>
        <v>4</v>
      </c>
      <c r="L261" s="13">
        <v>2</v>
      </c>
      <c r="M261" s="13">
        <f t="shared" si="14"/>
        <v>0</v>
      </c>
      <c r="N261" s="15">
        <f t="shared" si="13"/>
        <v>0</v>
      </c>
    </row>
    <row r="262" spans="1:14" ht="15" thickBot="1" x14ac:dyDescent="0.35">
      <c r="A262" s="16">
        <v>46153</v>
      </c>
      <c r="B262" s="10" t="s">
        <v>14</v>
      </c>
      <c r="C262" s="13">
        <v>3</v>
      </c>
      <c r="D262" s="11">
        <f>VLOOKUP(B262,[1]lantai9!$B:$G,6,FALSE)</f>
        <v>21000</v>
      </c>
      <c r="E262" s="11">
        <f>VLOOKUP(B262,karyawan!B:D,3,FALSE)</f>
        <v>20000</v>
      </c>
      <c r="F262" s="11" t="str">
        <f>VLOOKUP(B262,karyawan!B:E,4,FALSE)</f>
        <v>Damaz</v>
      </c>
      <c r="G262" s="12">
        <v>2</v>
      </c>
      <c r="H262" s="12"/>
      <c r="I262" s="12">
        <v>2</v>
      </c>
      <c r="J262" s="13">
        <v>0</v>
      </c>
      <c r="K262" s="14">
        <f t="shared" si="12"/>
        <v>2</v>
      </c>
      <c r="L262" s="13">
        <v>0</v>
      </c>
      <c r="M262" s="13">
        <f t="shared" si="14"/>
        <v>2</v>
      </c>
      <c r="N262" s="15">
        <f t="shared" si="13"/>
        <v>42000</v>
      </c>
    </row>
    <row r="263" spans="1:14" ht="15" thickBot="1" x14ac:dyDescent="0.35">
      <c r="A263" s="16">
        <v>46153</v>
      </c>
      <c r="B263" s="10" t="s">
        <v>15</v>
      </c>
      <c r="C263" s="13">
        <v>3</v>
      </c>
      <c r="D263" s="11">
        <f>VLOOKUP(B263,[1]lantai9!$B:$G,6,FALSE)</f>
        <v>36000</v>
      </c>
      <c r="E263" s="11">
        <f>VLOOKUP(B263,karyawan!B:D,3,FALSE)</f>
        <v>35000</v>
      </c>
      <c r="F263" s="11" t="str">
        <f>VLOOKUP(B263,karyawan!B:E,4,FALSE)</f>
        <v>Damaz</v>
      </c>
      <c r="G263" s="12">
        <v>3</v>
      </c>
      <c r="H263" s="12"/>
      <c r="I263" s="12">
        <v>3</v>
      </c>
      <c r="J263" s="13">
        <v>0</v>
      </c>
      <c r="K263" s="14">
        <f t="shared" si="12"/>
        <v>3</v>
      </c>
      <c r="L263" s="13">
        <v>0</v>
      </c>
      <c r="M263" s="13">
        <f t="shared" si="14"/>
        <v>3</v>
      </c>
      <c r="N263" s="15">
        <f t="shared" si="13"/>
        <v>108000</v>
      </c>
    </row>
    <row r="264" spans="1:14" ht="15" thickBot="1" x14ac:dyDescent="0.35">
      <c r="A264" s="16">
        <v>46153</v>
      </c>
      <c r="B264" s="10" t="s">
        <v>16</v>
      </c>
      <c r="C264" s="13">
        <v>3</v>
      </c>
      <c r="D264" s="11">
        <f>VLOOKUP(B264,[1]lantai9!$B:$G,6,FALSE)</f>
        <v>23000</v>
      </c>
      <c r="E264" s="11">
        <f>VLOOKUP(B264,karyawan!B:D,3,FALSE)</f>
        <v>22000</v>
      </c>
      <c r="F264" s="11" t="str">
        <f>VLOOKUP(B264,karyawan!B:E,4,FALSE)</f>
        <v>Vale</v>
      </c>
      <c r="G264" s="12">
        <v>5</v>
      </c>
      <c r="H264" s="12"/>
      <c r="I264" s="13">
        <v>0</v>
      </c>
      <c r="J264" s="13">
        <v>0</v>
      </c>
      <c r="K264" s="14">
        <f t="shared" si="12"/>
        <v>5</v>
      </c>
      <c r="L264" s="13">
        <v>0</v>
      </c>
      <c r="M264" s="13">
        <f t="shared" si="14"/>
        <v>0</v>
      </c>
      <c r="N264" s="15">
        <f t="shared" si="13"/>
        <v>0</v>
      </c>
    </row>
    <row r="265" spans="1:14" ht="15" thickBot="1" x14ac:dyDescent="0.35">
      <c r="A265" s="16">
        <v>46153</v>
      </c>
      <c r="B265" s="10" t="s">
        <v>17</v>
      </c>
      <c r="C265" s="13">
        <v>3</v>
      </c>
      <c r="D265" s="11">
        <f>VLOOKUP(B265,[1]lantai9!$B:$G,6,FALSE)</f>
        <v>15000</v>
      </c>
      <c r="E265" s="11">
        <f>VLOOKUP(B265,karyawan!B:D,3,FALSE)</f>
        <v>14000</v>
      </c>
      <c r="F265" s="11" t="str">
        <f>VLOOKUP(B265,karyawan!B:E,4,FALSE)</f>
        <v>Desy</v>
      </c>
      <c r="G265" s="12">
        <v>6</v>
      </c>
      <c r="H265" s="12"/>
      <c r="I265" s="12">
        <v>1</v>
      </c>
      <c r="J265" s="13">
        <v>1</v>
      </c>
      <c r="K265" s="14">
        <f t="shared" si="12"/>
        <v>6</v>
      </c>
      <c r="L265" s="13">
        <v>0</v>
      </c>
      <c r="M265" s="13">
        <f t="shared" si="14"/>
        <v>1</v>
      </c>
      <c r="N265" s="15">
        <f t="shared" si="13"/>
        <v>15000</v>
      </c>
    </row>
    <row r="266" spans="1:14" ht="15" thickBot="1" x14ac:dyDescent="0.35">
      <c r="A266" s="16">
        <v>46153</v>
      </c>
      <c r="B266" s="10" t="s">
        <v>31</v>
      </c>
      <c r="C266" s="13">
        <v>3</v>
      </c>
      <c r="D266" s="11">
        <f>VLOOKUP(B266,[1]lantai9!$B:$G,6,FALSE)</f>
        <v>18000</v>
      </c>
      <c r="E266" s="11">
        <f>VLOOKUP(B266,karyawan!B:D,3,FALSE)</f>
        <v>17000</v>
      </c>
      <c r="F266" s="11" t="str">
        <f>VLOOKUP(B266,karyawan!B:E,4,FALSE)</f>
        <v>Geby</v>
      </c>
      <c r="G266" s="12">
        <v>4</v>
      </c>
      <c r="H266" s="12"/>
      <c r="I266" s="12">
        <v>4</v>
      </c>
      <c r="J266" s="13">
        <v>-1</v>
      </c>
      <c r="K266" s="14">
        <f t="shared" si="12"/>
        <v>4</v>
      </c>
      <c r="L266" s="13">
        <v>0</v>
      </c>
      <c r="M266" s="13">
        <f t="shared" si="14"/>
        <v>4</v>
      </c>
      <c r="N266" s="15">
        <f t="shared" si="13"/>
        <v>72000</v>
      </c>
    </row>
    <row r="267" spans="1:14" ht="15" thickBot="1" x14ac:dyDescent="0.35">
      <c r="A267" s="16">
        <v>46153</v>
      </c>
      <c r="B267" s="10" t="s">
        <v>32</v>
      </c>
      <c r="C267" s="13">
        <v>3</v>
      </c>
      <c r="D267" s="11">
        <f>VLOOKUP(B267,[1]lantai9!$B:$G,6,FALSE)</f>
        <v>21000</v>
      </c>
      <c r="E267" s="11">
        <f>VLOOKUP(B267,karyawan!B:D,3,FALSE)</f>
        <v>20000</v>
      </c>
      <c r="F267" s="11" t="str">
        <f>VLOOKUP(B267,karyawan!B:E,4,FALSE)</f>
        <v>Geby</v>
      </c>
      <c r="G267" s="12">
        <v>3</v>
      </c>
      <c r="H267" s="12"/>
      <c r="I267" s="12">
        <v>3</v>
      </c>
      <c r="J267" s="13">
        <v>0</v>
      </c>
      <c r="K267" s="14">
        <f t="shared" si="12"/>
        <v>2</v>
      </c>
      <c r="L267" s="13">
        <v>1</v>
      </c>
      <c r="M267" s="13">
        <f t="shared" si="14"/>
        <v>2</v>
      </c>
      <c r="N267" s="15">
        <f t="shared" si="13"/>
        <v>42000</v>
      </c>
    </row>
    <row r="268" spans="1:14" ht="15" thickBot="1" x14ac:dyDescent="0.35">
      <c r="A268" s="16">
        <v>46153</v>
      </c>
      <c r="B268" s="10" t="s">
        <v>33</v>
      </c>
      <c r="C268" s="13">
        <v>3</v>
      </c>
      <c r="D268" s="11">
        <f>VLOOKUP(B268,[1]lantai9!$B:$G,6,FALSE)</f>
        <v>35000</v>
      </c>
      <c r="E268" s="11">
        <f>VLOOKUP(B268,karyawan!B:D,3,FALSE)</f>
        <v>34000</v>
      </c>
      <c r="F268" s="11" t="str">
        <f>VLOOKUP(B268,karyawan!B:E,4,FALSE)</f>
        <v>Sherly</v>
      </c>
      <c r="G268" s="12">
        <v>2</v>
      </c>
      <c r="H268" s="12"/>
      <c r="I268" s="12">
        <v>2</v>
      </c>
      <c r="J268" s="13">
        <v>0</v>
      </c>
      <c r="K268" s="14">
        <f t="shared" si="12"/>
        <v>0</v>
      </c>
      <c r="L268" s="13">
        <v>2</v>
      </c>
      <c r="M268" s="13">
        <f t="shared" si="14"/>
        <v>0</v>
      </c>
      <c r="N268" s="15">
        <f t="shared" si="13"/>
        <v>0</v>
      </c>
    </row>
    <row r="269" spans="1:14" ht="15" thickBot="1" x14ac:dyDescent="0.35">
      <c r="A269" s="16">
        <v>46153</v>
      </c>
      <c r="B269" s="10" t="s">
        <v>21</v>
      </c>
      <c r="C269" s="13">
        <v>3</v>
      </c>
      <c r="D269" s="11">
        <f>VLOOKUP(B269,[1]lantai9!$B:$G,6,FALSE)</f>
        <v>40000</v>
      </c>
      <c r="E269" s="11">
        <f>VLOOKUP(B269,karyawan!B:D,3,FALSE)</f>
        <v>39000</v>
      </c>
      <c r="F269" s="11" t="str">
        <f>VLOOKUP(B269,karyawan!B:E,4,FALSE)</f>
        <v>Sherly</v>
      </c>
      <c r="G269" s="12">
        <v>4</v>
      </c>
      <c r="H269" s="12"/>
      <c r="I269" s="12">
        <v>4</v>
      </c>
      <c r="J269" s="13">
        <v>4</v>
      </c>
      <c r="K269" s="14">
        <f t="shared" si="12"/>
        <v>1</v>
      </c>
      <c r="L269" s="13">
        <v>3</v>
      </c>
      <c r="M269" s="13">
        <f t="shared" si="14"/>
        <v>1</v>
      </c>
      <c r="N269" s="15">
        <f t="shared" si="13"/>
        <v>40000</v>
      </c>
    </row>
    <row r="270" spans="1:14" ht="15" thickBot="1" x14ac:dyDescent="0.35">
      <c r="A270" s="16">
        <v>46153</v>
      </c>
      <c r="B270" s="10" t="s">
        <v>22</v>
      </c>
      <c r="C270" s="13">
        <v>3</v>
      </c>
      <c r="D270" s="11">
        <f>VLOOKUP(B270,[1]lantai9!$B:$G,6,FALSE)</f>
        <v>2500</v>
      </c>
      <c r="E270" s="11">
        <f>VLOOKUP(B270,karyawan!B:D,3,FALSE)</f>
        <v>1480</v>
      </c>
      <c r="F270" s="11" t="str">
        <f>VLOOKUP(B270,karyawan!B:E,4,FALSE)</f>
        <v>Compliance</v>
      </c>
      <c r="G270" s="12">
        <v>12</v>
      </c>
      <c r="H270" s="12"/>
      <c r="I270" s="12">
        <v>3</v>
      </c>
      <c r="J270" s="13">
        <v>3</v>
      </c>
      <c r="K270" s="14">
        <f t="shared" si="12"/>
        <v>9</v>
      </c>
      <c r="L270" s="13">
        <v>3</v>
      </c>
      <c r="M270" s="13">
        <f t="shared" si="14"/>
        <v>0</v>
      </c>
      <c r="N270" s="15">
        <f t="shared" si="13"/>
        <v>0</v>
      </c>
    </row>
    <row r="271" spans="1:14" ht="15" thickBot="1" x14ac:dyDescent="0.35">
      <c r="A271" s="16">
        <v>46153</v>
      </c>
      <c r="B271" s="10" t="s">
        <v>23</v>
      </c>
      <c r="C271" s="13">
        <v>3</v>
      </c>
      <c r="D271" s="11">
        <f>VLOOKUP(B271,[1]lantai9!$B:$G,6,FALSE)</f>
        <v>2000</v>
      </c>
      <c r="E271" s="11">
        <f>VLOOKUP(B271,karyawan!B:D,3,FALSE)</f>
        <v>1074</v>
      </c>
      <c r="F271" s="11" t="str">
        <f>VLOOKUP(B271,karyawan!B:E,4,FALSE)</f>
        <v>Compliance</v>
      </c>
      <c r="G271" s="12">
        <v>10</v>
      </c>
      <c r="H271" s="12"/>
      <c r="I271" s="12">
        <v>10</v>
      </c>
      <c r="J271" s="13">
        <v>14</v>
      </c>
      <c r="K271" s="14">
        <f t="shared" si="12"/>
        <v>6</v>
      </c>
      <c r="L271" s="13">
        <v>4</v>
      </c>
      <c r="M271" s="13">
        <f t="shared" si="14"/>
        <v>6</v>
      </c>
      <c r="N271" s="15">
        <f t="shared" si="13"/>
        <v>12000</v>
      </c>
    </row>
    <row r="272" spans="1:14" ht="15" thickBot="1" x14ac:dyDescent="0.35">
      <c r="A272" s="16">
        <v>46153</v>
      </c>
      <c r="B272" s="10" t="s">
        <v>24</v>
      </c>
      <c r="C272" s="13">
        <v>3</v>
      </c>
      <c r="D272" s="11">
        <f>VLOOKUP(B272,[1]lantai9!$B:$G,6,FALSE)</f>
        <v>2500</v>
      </c>
      <c r="E272" s="11">
        <f>VLOOKUP(B272,karyawan!B:D,3,FALSE)</f>
        <v>1465</v>
      </c>
      <c r="F272" s="11" t="str">
        <f>VLOOKUP(B272,karyawan!B:E,4,FALSE)</f>
        <v>Compliance</v>
      </c>
      <c r="G272" s="12">
        <v>10</v>
      </c>
      <c r="H272" s="12"/>
      <c r="I272" s="12">
        <v>10</v>
      </c>
      <c r="J272" s="13">
        <v>3</v>
      </c>
      <c r="K272" s="14">
        <f t="shared" si="12"/>
        <v>7</v>
      </c>
      <c r="L272" s="13">
        <v>3</v>
      </c>
      <c r="M272" s="13">
        <f t="shared" si="14"/>
        <v>7</v>
      </c>
      <c r="N272" s="15">
        <f t="shared" si="13"/>
        <v>17500</v>
      </c>
    </row>
    <row r="273" spans="1:14" ht="15" thickBot="1" x14ac:dyDescent="0.35">
      <c r="A273" s="16">
        <v>46153</v>
      </c>
      <c r="B273" s="10" t="s">
        <v>25</v>
      </c>
      <c r="C273" s="13">
        <v>3</v>
      </c>
      <c r="D273" s="11">
        <f>VLOOKUP(B273,[1]lantai9!$B:$G,6,FALSE)</f>
        <v>10000</v>
      </c>
      <c r="E273" s="11">
        <f>VLOOKUP(B273,karyawan!B:D,3,FALSE)</f>
        <v>9200</v>
      </c>
      <c r="F273" s="11" t="str">
        <f>VLOOKUP(B273,karyawan!B:E,4,FALSE)</f>
        <v>Compliance</v>
      </c>
      <c r="G273" s="12">
        <v>15</v>
      </c>
      <c r="H273" s="12"/>
      <c r="I273" s="12">
        <v>15</v>
      </c>
      <c r="J273" s="13">
        <v>15</v>
      </c>
      <c r="K273" s="14">
        <f t="shared" si="12"/>
        <v>0</v>
      </c>
      <c r="L273" s="13">
        <v>15</v>
      </c>
      <c r="M273" s="13">
        <f t="shared" si="14"/>
        <v>0</v>
      </c>
      <c r="N273" s="15">
        <f t="shared" si="13"/>
        <v>0</v>
      </c>
    </row>
    <row r="274" spans="1:14" ht="15" thickBot="1" x14ac:dyDescent="0.35">
      <c r="A274" s="16">
        <v>46153</v>
      </c>
      <c r="B274" s="10" t="s">
        <v>26</v>
      </c>
      <c r="C274" s="13">
        <v>3</v>
      </c>
      <c r="D274" s="11">
        <f>VLOOKUP(B274,[1]lantai9!$B:$G,6,FALSE)</f>
        <v>15000</v>
      </c>
      <c r="E274" s="11">
        <f>VLOOKUP(B274,karyawan!B:D,3,FALSE)</f>
        <v>13807</v>
      </c>
      <c r="F274" s="11" t="str">
        <f>VLOOKUP(B274,karyawan!B:E,4,FALSE)</f>
        <v>Compliance</v>
      </c>
      <c r="G274" s="12">
        <v>10</v>
      </c>
      <c r="H274" s="12"/>
      <c r="I274" s="12">
        <v>10</v>
      </c>
      <c r="J274" s="13">
        <v>1</v>
      </c>
      <c r="K274" s="14">
        <f t="shared" si="12"/>
        <v>10</v>
      </c>
      <c r="L274" s="13">
        <v>0</v>
      </c>
      <c r="M274" s="13">
        <f t="shared" si="14"/>
        <v>10</v>
      </c>
      <c r="N274" s="15">
        <f t="shared" si="13"/>
        <v>150000</v>
      </c>
    </row>
    <row r="275" spans="1:14" ht="15" thickBot="1" x14ac:dyDescent="0.35">
      <c r="A275" s="16">
        <v>46153</v>
      </c>
      <c r="B275" s="10" t="s">
        <v>27</v>
      </c>
      <c r="C275" s="13">
        <v>3</v>
      </c>
      <c r="D275" s="11">
        <f>VLOOKUP(B275,[1]lantai9!$B:$G,6,FALSE)</f>
        <v>23000</v>
      </c>
      <c r="E275" s="11">
        <f>VLOOKUP(B275,karyawan!B:D,3,FALSE)</f>
        <v>21760</v>
      </c>
      <c r="F275" s="11" t="str">
        <f>VLOOKUP(B275,karyawan!B:E,4,FALSE)</f>
        <v>Compliance</v>
      </c>
      <c r="G275" s="12">
        <v>7</v>
      </c>
      <c r="H275" s="12"/>
      <c r="I275" s="12">
        <v>7</v>
      </c>
      <c r="J275" s="13">
        <v>2</v>
      </c>
      <c r="K275" s="14">
        <f t="shared" si="12"/>
        <v>5</v>
      </c>
      <c r="L275" s="13">
        <v>2</v>
      </c>
      <c r="M275" s="13">
        <f t="shared" si="14"/>
        <v>5</v>
      </c>
      <c r="N275" s="15">
        <f t="shared" si="13"/>
        <v>115000</v>
      </c>
    </row>
    <row r="276" spans="1:14" ht="15" thickBot="1" x14ac:dyDescent="0.35">
      <c r="A276" s="16">
        <v>46153</v>
      </c>
      <c r="B276" s="17" t="s">
        <v>28</v>
      </c>
      <c r="C276" s="13">
        <v>3</v>
      </c>
      <c r="D276" s="11">
        <f>VLOOKUP(B276,[1]lantai9!$B:$G,6,FALSE)</f>
        <v>11000</v>
      </c>
      <c r="E276" s="11">
        <f>VLOOKUP(B276,karyawan!B:D,3,FALSE)</f>
        <v>10000</v>
      </c>
      <c r="F276" s="11" t="str">
        <f>VLOOKUP(B276,karyawan!B:E,4,FALSE)</f>
        <v>Compliance</v>
      </c>
      <c r="G276" s="12">
        <v>8</v>
      </c>
      <c r="H276" s="12"/>
      <c r="I276" s="12">
        <v>8</v>
      </c>
      <c r="J276" s="13">
        <v>6</v>
      </c>
      <c r="K276" s="14">
        <f t="shared" si="12"/>
        <v>3</v>
      </c>
      <c r="L276" s="12">
        <v>5</v>
      </c>
      <c r="M276" s="13">
        <f t="shared" si="14"/>
        <v>3</v>
      </c>
      <c r="N276" s="15">
        <f t="shared" si="13"/>
        <v>33000</v>
      </c>
    </row>
    <row r="277" spans="1:14" ht="15" thickBot="1" x14ac:dyDescent="0.35">
      <c r="A277" s="16">
        <v>46153</v>
      </c>
      <c r="B277" s="17" t="s">
        <v>29</v>
      </c>
      <c r="C277" s="13">
        <v>3</v>
      </c>
      <c r="D277" s="11">
        <f>VLOOKUP(B277,[1]lantai9!$B:$G,6,FALSE)</f>
        <v>14500</v>
      </c>
      <c r="E277" s="11">
        <f>VLOOKUP(B277,karyawan!B:D,3,FALSE)</f>
        <v>13500</v>
      </c>
      <c r="F277" s="11" t="str">
        <f>VLOOKUP(B277,karyawan!B:E,4,FALSE)</f>
        <v>Compliance</v>
      </c>
      <c r="G277" s="12">
        <v>6</v>
      </c>
      <c r="H277" s="12"/>
      <c r="I277" s="12">
        <v>6</v>
      </c>
      <c r="J277" s="13">
        <v>4</v>
      </c>
      <c r="K277" s="14">
        <f t="shared" si="12"/>
        <v>3</v>
      </c>
      <c r="L277" s="13">
        <v>3</v>
      </c>
      <c r="M277" s="13">
        <f t="shared" si="14"/>
        <v>3</v>
      </c>
      <c r="N277" s="15">
        <f t="shared" si="13"/>
        <v>43500</v>
      </c>
    </row>
    <row r="278" spans="1:14" ht="15" thickBot="1" x14ac:dyDescent="0.35">
      <c r="A278" s="16">
        <v>46153</v>
      </c>
      <c r="B278" s="17" t="s">
        <v>30</v>
      </c>
      <c r="C278" s="13">
        <v>3</v>
      </c>
      <c r="D278" s="11">
        <f>VLOOKUP(B278,[1]lantai9!$B:$G,6,FALSE)</f>
        <v>3500</v>
      </c>
      <c r="E278" s="11">
        <f>VLOOKUP(B278,karyawan!B:D,3,FALSE)</f>
        <v>2500</v>
      </c>
      <c r="F278" s="11" t="str">
        <f>VLOOKUP(B278,karyawan!B:E,4,FALSE)</f>
        <v>Compliance</v>
      </c>
      <c r="G278" s="12">
        <v>20</v>
      </c>
      <c r="H278" s="12"/>
      <c r="I278" s="12">
        <v>20</v>
      </c>
      <c r="J278" s="13">
        <v>18</v>
      </c>
      <c r="K278" s="14">
        <f t="shared" si="12"/>
        <v>2</v>
      </c>
      <c r="L278" s="13">
        <v>18</v>
      </c>
      <c r="M278" s="13">
        <f t="shared" si="14"/>
        <v>2</v>
      </c>
      <c r="N278" s="15">
        <f t="shared" si="13"/>
        <v>7000</v>
      </c>
    </row>
    <row r="279" spans="1:14" ht="15" thickBot="1" x14ac:dyDescent="0.35">
      <c r="A279" s="16">
        <v>46153</v>
      </c>
      <c r="B279" s="17" t="s">
        <v>34</v>
      </c>
      <c r="C279" s="13">
        <v>3</v>
      </c>
      <c r="D279" s="11">
        <f>VLOOKUP(B279,[1]lantai9!$B:$G,6,FALSE)</f>
        <v>5500</v>
      </c>
      <c r="E279" s="11">
        <f>VLOOKUP(B279,karyawan!B:D,3,FALSE)</f>
        <v>4500</v>
      </c>
      <c r="F279" s="11" t="str">
        <f>VLOOKUP(B279,karyawan!B:E,4,FALSE)</f>
        <v>Compliance</v>
      </c>
      <c r="G279" s="12">
        <v>8</v>
      </c>
      <c r="H279" s="12"/>
      <c r="I279" s="12">
        <v>8</v>
      </c>
      <c r="J279" s="13">
        <v>4</v>
      </c>
      <c r="K279" s="14">
        <f t="shared" si="12"/>
        <v>4</v>
      </c>
      <c r="L279" s="13">
        <v>4</v>
      </c>
      <c r="M279" s="13">
        <f t="shared" si="14"/>
        <v>4</v>
      </c>
      <c r="N279" s="15">
        <f t="shared" si="13"/>
        <v>22000</v>
      </c>
    </row>
    <row r="280" spans="1:14" ht="15" thickBot="1" x14ac:dyDescent="0.35">
      <c r="A280" s="16">
        <v>46153</v>
      </c>
      <c r="B280" s="17" t="s">
        <v>35</v>
      </c>
      <c r="C280" s="13">
        <v>3</v>
      </c>
      <c r="D280" s="11">
        <f>VLOOKUP(B280,[1]lantai9!$B:$G,6,FALSE)</f>
        <v>9000</v>
      </c>
      <c r="E280" s="11">
        <f>VLOOKUP(B280,karyawan!B:D,3,FALSE)</f>
        <v>8000</v>
      </c>
      <c r="F280" s="11" t="str">
        <f>VLOOKUP(B280,karyawan!B:E,4,FALSE)</f>
        <v>Compliance</v>
      </c>
      <c r="G280" s="12">
        <v>3</v>
      </c>
      <c r="H280" s="12"/>
      <c r="I280" s="12">
        <v>3</v>
      </c>
      <c r="J280" s="13">
        <v>5</v>
      </c>
      <c r="K280" s="14">
        <f t="shared" si="12"/>
        <v>2</v>
      </c>
      <c r="L280" s="13">
        <v>1</v>
      </c>
      <c r="M280" s="13">
        <f t="shared" si="14"/>
        <v>2</v>
      </c>
      <c r="N280" s="15">
        <f t="shared" si="13"/>
        <v>18000</v>
      </c>
    </row>
    <row r="281" spans="1:14" ht="15" thickBot="1" x14ac:dyDescent="0.35">
      <c r="A281" s="16">
        <v>46153</v>
      </c>
      <c r="B281" s="10" t="s">
        <v>12</v>
      </c>
      <c r="C281" s="13">
        <v>8</v>
      </c>
      <c r="D281" s="11">
        <f>VLOOKUP(B281,[1]lantai9!$B:$G,6,FALSE)</f>
        <v>35000</v>
      </c>
      <c r="E281" s="11">
        <f>VLOOKUP(B281,karyawan!B:D,3,FALSE)</f>
        <v>34000</v>
      </c>
      <c r="F281" s="11" t="str">
        <f>VLOOKUP(B281,karyawan!B:E,4,FALSE)</f>
        <v>Florida</v>
      </c>
      <c r="G281" s="12">
        <v>5</v>
      </c>
      <c r="H281" s="12"/>
      <c r="I281" s="12">
        <v>4</v>
      </c>
      <c r="J281" s="13">
        <v>4</v>
      </c>
      <c r="K281" s="14">
        <f t="shared" si="12"/>
        <v>1</v>
      </c>
      <c r="L281" s="13">
        <v>4</v>
      </c>
      <c r="M281" s="13">
        <f t="shared" si="14"/>
        <v>0</v>
      </c>
      <c r="N281" s="15">
        <f t="shared" si="13"/>
        <v>0</v>
      </c>
    </row>
    <row r="282" spans="1:14" ht="15" thickBot="1" x14ac:dyDescent="0.35">
      <c r="A282" s="16">
        <v>46153</v>
      </c>
      <c r="B282" s="10" t="s">
        <v>13</v>
      </c>
      <c r="C282" s="13">
        <v>8</v>
      </c>
      <c r="D282" s="11">
        <f>VLOOKUP(B282,[1]lantai9!$B:$G,6,FALSE)</f>
        <v>23000</v>
      </c>
      <c r="E282" s="11">
        <f>VLOOKUP(B282,karyawan!B:D,3,FALSE)</f>
        <v>22000</v>
      </c>
      <c r="F282" s="11" t="str">
        <f>VLOOKUP(B282,karyawan!B:E,4,FALSE)</f>
        <v>Yohannes</v>
      </c>
      <c r="G282" s="12">
        <v>6</v>
      </c>
      <c r="H282" s="12"/>
      <c r="I282" s="12">
        <v>0</v>
      </c>
      <c r="J282" s="13">
        <v>10</v>
      </c>
      <c r="K282" s="14">
        <f t="shared" si="12"/>
        <v>6</v>
      </c>
      <c r="L282" s="13">
        <v>0</v>
      </c>
      <c r="M282" s="13">
        <f t="shared" si="14"/>
        <v>0</v>
      </c>
      <c r="N282" s="15">
        <f t="shared" si="13"/>
        <v>0</v>
      </c>
    </row>
    <row r="283" spans="1:14" ht="15" thickBot="1" x14ac:dyDescent="0.35">
      <c r="A283" s="16">
        <v>46153</v>
      </c>
      <c r="B283" s="10" t="s">
        <v>14</v>
      </c>
      <c r="C283" s="13">
        <v>8</v>
      </c>
      <c r="D283" s="11">
        <f>VLOOKUP(B283,[1]lantai9!$B:$G,6,FALSE)</f>
        <v>21000</v>
      </c>
      <c r="E283" s="11">
        <f>VLOOKUP(B283,karyawan!B:D,3,FALSE)</f>
        <v>20000</v>
      </c>
      <c r="F283" s="11" t="str">
        <f>VLOOKUP(B283,karyawan!B:E,4,FALSE)</f>
        <v>Damaz</v>
      </c>
      <c r="G283" s="12">
        <v>2</v>
      </c>
      <c r="H283" s="12"/>
      <c r="I283" s="12">
        <v>1</v>
      </c>
      <c r="J283" s="13">
        <v>1</v>
      </c>
      <c r="K283" s="14">
        <f t="shared" si="12"/>
        <v>1</v>
      </c>
      <c r="L283" s="13">
        <v>1</v>
      </c>
      <c r="M283" s="13">
        <f t="shared" si="14"/>
        <v>0</v>
      </c>
      <c r="N283" s="15">
        <f t="shared" si="13"/>
        <v>0</v>
      </c>
    </row>
    <row r="284" spans="1:14" ht="15" thickBot="1" x14ac:dyDescent="0.35">
      <c r="A284" s="16">
        <v>46153</v>
      </c>
      <c r="B284" s="10" t="s">
        <v>15</v>
      </c>
      <c r="C284" s="13">
        <v>8</v>
      </c>
      <c r="D284" s="11">
        <f>VLOOKUP(B284,[1]lantai9!$B:$G,6,FALSE)</f>
        <v>36000</v>
      </c>
      <c r="E284" s="11">
        <f>VLOOKUP(B284,karyawan!B:D,3,FALSE)</f>
        <v>35000</v>
      </c>
      <c r="F284" s="11" t="str">
        <f>VLOOKUP(B284,karyawan!B:E,4,FALSE)</f>
        <v>Damaz</v>
      </c>
      <c r="G284" s="12">
        <v>3</v>
      </c>
      <c r="H284" s="12"/>
      <c r="I284" s="12">
        <v>2</v>
      </c>
      <c r="J284" s="13">
        <v>2</v>
      </c>
      <c r="K284" s="14">
        <f t="shared" si="12"/>
        <v>1</v>
      </c>
      <c r="L284" s="13">
        <v>2</v>
      </c>
      <c r="M284" s="13">
        <f t="shared" si="14"/>
        <v>0</v>
      </c>
      <c r="N284" s="15">
        <f t="shared" si="13"/>
        <v>0</v>
      </c>
    </row>
    <row r="285" spans="1:14" ht="15" thickBot="1" x14ac:dyDescent="0.35">
      <c r="A285" s="16">
        <v>46153</v>
      </c>
      <c r="B285" s="10" t="s">
        <v>16</v>
      </c>
      <c r="C285" s="13">
        <v>8</v>
      </c>
      <c r="D285" s="11">
        <f>VLOOKUP(B285,[1]lantai9!$B:$G,6,FALSE)</f>
        <v>23000</v>
      </c>
      <c r="E285" s="11">
        <f>VLOOKUP(B285,karyawan!B:D,3,FALSE)</f>
        <v>22000</v>
      </c>
      <c r="F285" s="11" t="str">
        <f>VLOOKUP(B285,karyawan!B:E,4,FALSE)</f>
        <v>Vale</v>
      </c>
      <c r="G285" s="12">
        <v>5</v>
      </c>
      <c r="H285" s="12"/>
      <c r="I285" s="12">
        <v>0</v>
      </c>
      <c r="J285" s="13">
        <v>1</v>
      </c>
      <c r="K285" s="14">
        <f t="shared" si="12"/>
        <v>5</v>
      </c>
      <c r="L285" s="13">
        <v>0</v>
      </c>
      <c r="M285" s="13">
        <f t="shared" si="14"/>
        <v>0</v>
      </c>
      <c r="N285" s="15">
        <f t="shared" si="13"/>
        <v>0</v>
      </c>
    </row>
    <row r="286" spans="1:14" ht="15" thickBot="1" x14ac:dyDescent="0.35">
      <c r="A286" s="16">
        <v>46153</v>
      </c>
      <c r="B286" s="10" t="s">
        <v>17</v>
      </c>
      <c r="C286" s="13">
        <v>8</v>
      </c>
      <c r="D286" s="11">
        <f>VLOOKUP(B286,[1]lantai9!$B:$G,6,FALSE)</f>
        <v>15000</v>
      </c>
      <c r="E286" s="11">
        <f>VLOOKUP(B286,karyawan!B:D,3,FALSE)</f>
        <v>14000</v>
      </c>
      <c r="F286" s="11" t="str">
        <f>VLOOKUP(B286,karyawan!B:E,4,FALSE)</f>
        <v>Desy</v>
      </c>
      <c r="G286" s="12">
        <v>6</v>
      </c>
      <c r="H286" s="12"/>
      <c r="I286" s="12">
        <v>8</v>
      </c>
      <c r="J286" s="13">
        <v>6</v>
      </c>
      <c r="K286" s="14">
        <f t="shared" si="12"/>
        <v>0</v>
      </c>
      <c r="L286" s="13">
        <v>6</v>
      </c>
      <c r="M286" s="13">
        <f t="shared" si="14"/>
        <v>2</v>
      </c>
      <c r="N286" s="15">
        <f t="shared" si="13"/>
        <v>30000</v>
      </c>
    </row>
    <row r="287" spans="1:14" ht="15" thickBot="1" x14ac:dyDescent="0.35">
      <c r="A287" s="16">
        <v>46153</v>
      </c>
      <c r="B287" s="10" t="s">
        <v>31</v>
      </c>
      <c r="C287" s="13">
        <v>8</v>
      </c>
      <c r="D287" s="11">
        <f>VLOOKUP(B287,[1]lantai9!$B:$G,6,FALSE)</f>
        <v>18000</v>
      </c>
      <c r="E287" s="11">
        <f>VLOOKUP(B287,karyawan!B:D,3,FALSE)</f>
        <v>17000</v>
      </c>
      <c r="F287" s="11" t="str">
        <f>VLOOKUP(B287,karyawan!B:E,4,FALSE)</f>
        <v>Geby</v>
      </c>
      <c r="G287" s="12">
        <v>4</v>
      </c>
      <c r="H287" s="12"/>
      <c r="I287" s="12">
        <v>4</v>
      </c>
      <c r="J287" s="13">
        <v>3</v>
      </c>
      <c r="K287" s="14">
        <f t="shared" si="12"/>
        <v>0</v>
      </c>
      <c r="L287" s="13">
        <v>4</v>
      </c>
      <c r="M287" s="13">
        <f t="shared" si="14"/>
        <v>0</v>
      </c>
      <c r="N287" s="15">
        <f t="shared" si="13"/>
        <v>0</v>
      </c>
    </row>
    <row r="288" spans="1:14" ht="15" thickBot="1" x14ac:dyDescent="0.35">
      <c r="A288" s="16">
        <v>46153</v>
      </c>
      <c r="B288" s="10" t="s">
        <v>32</v>
      </c>
      <c r="C288" s="13">
        <v>8</v>
      </c>
      <c r="D288" s="11">
        <f>VLOOKUP(B288,[1]lantai9!$B:$G,6,FALSE)</f>
        <v>21000</v>
      </c>
      <c r="E288" s="11">
        <f>VLOOKUP(B288,karyawan!B:D,3,FALSE)</f>
        <v>20000</v>
      </c>
      <c r="F288" s="11" t="str">
        <f>VLOOKUP(B288,karyawan!B:E,4,FALSE)</f>
        <v>Geby</v>
      </c>
      <c r="G288" s="12">
        <v>3</v>
      </c>
      <c r="H288" s="12"/>
      <c r="I288" s="12">
        <v>4</v>
      </c>
      <c r="J288" s="13">
        <v>3</v>
      </c>
      <c r="K288" s="14">
        <f t="shared" si="12"/>
        <v>0</v>
      </c>
      <c r="L288" s="13">
        <v>4</v>
      </c>
      <c r="M288" s="13">
        <f t="shared" si="14"/>
        <v>0</v>
      </c>
      <c r="N288" s="15">
        <f t="shared" si="13"/>
        <v>0</v>
      </c>
    </row>
    <row r="289" spans="1:14" ht="15" thickBot="1" x14ac:dyDescent="0.35">
      <c r="A289" s="16">
        <v>46153</v>
      </c>
      <c r="B289" s="10" t="s">
        <v>33</v>
      </c>
      <c r="C289" s="13">
        <v>8</v>
      </c>
      <c r="D289" s="11">
        <f>VLOOKUP(B289,[1]lantai9!$B:$G,6,FALSE)</f>
        <v>35000</v>
      </c>
      <c r="E289" s="11">
        <f>VLOOKUP(B289,karyawan!B:D,3,FALSE)</f>
        <v>34000</v>
      </c>
      <c r="F289" s="11" t="str">
        <f>VLOOKUP(B289,karyawan!B:E,4,FALSE)</f>
        <v>Sherly</v>
      </c>
      <c r="G289" s="12">
        <v>2</v>
      </c>
      <c r="H289" s="12"/>
      <c r="I289" s="12">
        <v>2</v>
      </c>
      <c r="J289" s="13">
        <v>2</v>
      </c>
      <c r="K289" s="14">
        <f t="shared" si="12"/>
        <v>0</v>
      </c>
      <c r="L289" s="13">
        <v>2</v>
      </c>
      <c r="M289" s="13">
        <f t="shared" si="14"/>
        <v>0</v>
      </c>
      <c r="N289" s="15">
        <f t="shared" si="13"/>
        <v>0</v>
      </c>
    </row>
    <row r="290" spans="1:14" ht="15" thickBot="1" x14ac:dyDescent="0.35">
      <c r="A290" s="16">
        <v>46153</v>
      </c>
      <c r="B290" s="10" t="s">
        <v>21</v>
      </c>
      <c r="C290" s="13">
        <v>8</v>
      </c>
      <c r="D290" s="11">
        <f>VLOOKUP(B290,[1]lantai9!$B:$G,6,FALSE)</f>
        <v>40000</v>
      </c>
      <c r="E290" s="11">
        <f>VLOOKUP(B290,karyawan!B:D,3,FALSE)</f>
        <v>39000</v>
      </c>
      <c r="F290" s="11" t="str">
        <f>VLOOKUP(B290,karyawan!B:E,4,FALSE)</f>
        <v>Sherly</v>
      </c>
      <c r="G290" s="12">
        <v>4</v>
      </c>
      <c r="H290" s="12"/>
      <c r="I290" s="12">
        <v>4</v>
      </c>
      <c r="J290" s="13">
        <v>4</v>
      </c>
      <c r="K290" s="14">
        <f t="shared" si="12"/>
        <v>0</v>
      </c>
      <c r="L290" s="13">
        <v>4</v>
      </c>
      <c r="M290" s="13">
        <f t="shared" si="14"/>
        <v>0</v>
      </c>
      <c r="N290" s="15">
        <f t="shared" si="13"/>
        <v>0</v>
      </c>
    </row>
    <row r="291" spans="1:14" ht="15" thickBot="1" x14ac:dyDescent="0.35">
      <c r="A291" s="16">
        <v>46153</v>
      </c>
      <c r="B291" s="10" t="s">
        <v>22</v>
      </c>
      <c r="C291" s="13">
        <v>8</v>
      </c>
      <c r="D291" s="11">
        <f>VLOOKUP(B291,[1]lantai9!$B:$G,6,FALSE)</f>
        <v>2500</v>
      </c>
      <c r="E291" s="11">
        <f>VLOOKUP(B291,karyawan!B:D,3,FALSE)</f>
        <v>1480</v>
      </c>
      <c r="F291" s="11" t="str">
        <f>VLOOKUP(B291,karyawan!B:E,4,FALSE)</f>
        <v>Compliance</v>
      </c>
      <c r="G291" s="12">
        <v>12</v>
      </c>
      <c r="H291" s="12"/>
      <c r="I291" s="12">
        <v>4</v>
      </c>
      <c r="J291" s="13">
        <v>2</v>
      </c>
      <c r="K291" s="14">
        <f t="shared" si="12"/>
        <v>10</v>
      </c>
      <c r="L291" s="13">
        <v>2</v>
      </c>
      <c r="M291" s="13">
        <f t="shared" si="14"/>
        <v>2</v>
      </c>
      <c r="N291" s="15">
        <f t="shared" si="13"/>
        <v>5000</v>
      </c>
    </row>
    <row r="292" spans="1:14" ht="15" thickBot="1" x14ac:dyDescent="0.35">
      <c r="A292" s="16">
        <v>46153</v>
      </c>
      <c r="B292" s="10" t="s">
        <v>23</v>
      </c>
      <c r="C292" s="13">
        <v>8</v>
      </c>
      <c r="D292" s="11">
        <f>VLOOKUP(B292,[1]lantai9!$B:$G,6,FALSE)</f>
        <v>2000</v>
      </c>
      <c r="E292" s="11">
        <f>VLOOKUP(B292,karyawan!B:D,3,FALSE)</f>
        <v>1074</v>
      </c>
      <c r="F292" s="11" t="str">
        <f>VLOOKUP(B292,karyawan!B:E,4,FALSE)</f>
        <v>Compliance</v>
      </c>
      <c r="G292" s="12">
        <v>10</v>
      </c>
      <c r="H292" s="12"/>
      <c r="I292" s="12">
        <v>10</v>
      </c>
      <c r="J292" s="13">
        <v>9</v>
      </c>
      <c r="K292" s="14">
        <f t="shared" si="12"/>
        <v>1</v>
      </c>
      <c r="L292" s="13">
        <v>9</v>
      </c>
      <c r="M292" s="13">
        <f t="shared" si="14"/>
        <v>1</v>
      </c>
      <c r="N292" s="15">
        <f t="shared" si="13"/>
        <v>2000</v>
      </c>
    </row>
    <row r="293" spans="1:14" ht="15" thickBot="1" x14ac:dyDescent="0.35">
      <c r="A293" s="16">
        <v>46153</v>
      </c>
      <c r="B293" s="10" t="s">
        <v>24</v>
      </c>
      <c r="C293" s="13">
        <v>8</v>
      </c>
      <c r="D293" s="11">
        <f>VLOOKUP(B293,[1]lantai9!$B:$G,6,FALSE)</f>
        <v>2500</v>
      </c>
      <c r="E293" s="11">
        <f>VLOOKUP(B293,karyawan!B:D,3,FALSE)</f>
        <v>1465</v>
      </c>
      <c r="F293" s="11" t="str">
        <f>VLOOKUP(B293,karyawan!B:E,4,FALSE)</f>
        <v>Compliance</v>
      </c>
      <c r="G293" s="12">
        <v>10</v>
      </c>
      <c r="H293" s="12"/>
      <c r="I293" s="12">
        <v>10</v>
      </c>
      <c r="J293" s="13">
        <v>3</v>
      </c>
      <c r="K293" s="14">
        <f t="shared" si="12"/>
        <v>10</v>
      </c>
      <c r="L293" s="13">
        <v>0</v>
      </c>
      <c r="M293" s="13">
        <f t="shared" si="14"/>
        <v>10</v>
      </c>
      <c r="N293" s="15">
        <f t="shared" si="13"/>
        <v>25000</v>
      </c>
    </row>
    <row r="294" spans="1:14" ht="15" thickBot="1" x14ac:dyDescent="0.35">
      <c r="A294" s="16">
        <v>46153</v>
      </c>
      <c r="B294" s="10" t="s">
        <v>25</v>
      </c>
      <c r="C294" s="13">
        <v>8</v>
      </c>
      <c r="D294" s="11">
        <f>VLOOKUP(B294,[1]lantai9!$B:$G,6,FALSE)</f>
        <v>10000</v>
      </c>
      <c r="E294" s="11">
        <f>VLOOKUP(B294,karyawan!B:D,3,FALSE)</f>
        <v>9200</v>
      </c>
      <c r="F294" s="11" t="str">
        <f>VLOOKUP(B294,karyawan!B:E,4,FALSE)</f>
        <v>Compliance</v>
      </c>
      <c r="G294" s="12">
        <v>15</v>
      </c>
      <c r="H294" s="12"/>
      <c r="I294" s="12">
        <v>15</v>
      </c>
      <c r="J294" s="13">
        <v>12</v>
      </c>
      <c r="K294" s="14">
        <f t="shared" si="12"/>
        <v>3</v>
      </c>
      <c r="L294" s="13">
        <v>12</v>
      </c>
      <c r="M294" s="13">
        <f t="shared" si="14"/>
        <v>3</v>
      </c>
      <c r="N294" s="15">
        <f t="shared" si="13"/>
        <v>30000</v>
      </c>
    </row>
    <row r="295" spans="1:14" ht="15" thickBot="1" x14ac:dyDescent="0.35">
      <c r="A295" s="16">
        <v>46153</v>
      </c>
      <c r="B295" s="10" t="s">
        <v>26</v>
      </c>
      <c r="C295" s="13">
        <v>8</v>
      </c>
      <c r="D295" s="11">
        <f>VLOOKUP(B295,[1]lantai9!$B:$G,6,FALSE)</f>
        <v>15000</v>
      </c>
      <c r="E295" s="11">
        <f>VLOOKUP(B295,karyawan!B:D,3,FALSE)</f>
        <v>13807</v>
      </c>
      <c r="F295" s="11" t="str">
        <f>VLOOKUP(B295,karyawan!B:E,4,FALSE)</f>
        <v>Compliance</v>
      </c>
      <c r="G295" s="12">
        <v>10</v>
      </c>
      <c r="H295" s="12"/>
      <c r="I295" s="12">
        <v>10</v>
      </c>
      <c r="J295" s="13">
        <v>9</v>
      </c>
      <c r="K295" s="14">
        <f t="shared" si="12"/>
        <v>2</v>
      </c>
      <c r="L295" s="13">
        <v>8</v>
      </c>
      <c r="M295" s="13">
        <f t="shared" si="14"/>
        <v>2</v>
      </c>
      <c r="N295" s="15">
        <f t="shared" si="13"/>
        <v>30000</v>
      </c>
    </row>
    <row r="296" spans="1:14" ht="15" thickBot="1" x14ac:dyDescent="0.35">
      <c r="A296" s="16">
        <v>46153</v>
      </c>
      <c r="B296" s="10" t="s">
        <v>27</v>
      </c>
      <c r="C296" s="13">
        <v>8</v>
      </c>
      <c r="D296" s="11">
        <f>VLOOKUP(B296,[1]lantai9!$B:$G,6,FALSE)</f>
        <v>23000</v>
      </c>
      <c r="E296" s="11">
        <f>VLOOKUP(B296,karyawan!B:D,3,FALSE)</f>
        <v>21760</v>
      </c>
      <c r="F296" s="11" t="str">
        <f>VLOOKUP(B296,karyawan!B:E,4,FALSE)</f>
        <v>Compliance</v>
      </c>
      <c r="G296" s="12">
        <v>7</v>
      </c>
      <c r="H296" s="12"/>
      <c r="I296" s="12">
        <v>6</v>
      </c>
      <c r="J296" s="13">
        <v>6</v>
      </c>
      <c r="K296" s="14">
        <f t="shared" si="12"/>
        <v>1</v>
      </c>
      <c r="L296" s="13">
        <v>6</v>
      </c>
      <c r="M296" s="13">
        <f t="shared" si="14"/>
        <v>0</v>
      </c>
      <c r="N296" s="15">
        <f t="shared" si="13"/>
        <v>0</v>
      </c>
    </row>
    <row r="297" spans="1:14" ht="15" thickBot="1" x14ac:dyDescent="0.35">
      <c r="A297" s="16">
        <v>46153</v>
      </c>
      <c r="B297" s="17" t="s">
        <v>28</v>
      </c>
      <c r="C297" s="13">
        <v>8</v>
      </c>
      <c r="D297" s="11">
        <f>VLOOKUP(B297,[1]lantai9!$B:$G,6,FALSE)</f>
        <v>11000</v>
      </c>
      <c r="E297" s="11">
        <f>VLOOKUP(B297,karyawan!B:D,3,FALSE)</f>
        <v>10000</v>
      </c>
      <c r="F297" s="11" t="str">
        <f>VLOOKUP(B297,karyawan!B:E,4,FALSE)</f>
        <v>Compliance</v>
      </c>
      <c r="G297" s="12">
        <v>8</v>
      </c>
      <c r="H297" s="12"/>
      <c r="I297" s="12">
        <v>8</v>
      </c>
      <c r="J297" s="13">
        <v>5</v>
      </c>
      <c r="K297" s="14">
        <f t="shared" si="12"/>
        <v>3</v>
      </c>
      <c r="L297" s="12">
        <v>5</v>
      </c>
      <c r="M297" s="13">
        <f t="shared" si="14"/>
        <v>3</v>
      </c>
      <c r="N297" s="15">
        <f t="shared" si="13"/>
        <v>33000</v>
      </c>
    </row>
    <row r="298" spans="1:14" ht="15" thickBot="1" x14ac:dyDescent="0.35">
      <c r="A298" s="16">
        <v>46153</v>
      </c>
      <c r="B298" s="17" t="s">
        <v>29</v>
      </c>
      <c r="C298" s="13">
        <v>8</v>
      </c>
      <c r="D298" s="11">
        <f>VLOOKUP(B298,[1]lantai9!$B:$G,6,FALSE)</f>
        <v>14500</v>
      </c>
      <c r="E298" s="11">
        <f>VLOOKUP(B298,karyawan!B:D,3,FALSE)</f>
        <v>13500</v>
      </c>
      <c r="F298" s="11" t="str">
        <f>VLOOKUP(B298,karyawan!B:E,4,FALSE)</f>
        <v>Compliance</v>
      </c>
      <c r="G298" s="12">
        <v>6</v>
      </c>
      <c r="H298" s="12"/>
      <c r="I298" s="12">
        <v>6</v>
      </c>
      <c r="J298" s="13">
        <v>6</v>
      </c>
      <c r="K298" s="14">
        <f t="shared" si="12"/>
        <v>0</v>
      </c>
      <c r="L298" s="13">
        <v>6</v>
      </c>
      <c r="M298" s="13">
        <f t="shared" si="14"/>
        <v>0</v>
      </c>
      <c r="N298" s="15">
        <f t="shared" si="13"/>
        <v>0</v>
      </c>
    </row>
    <row r="299" spans="1:14" ht="15" thickBot="1" x14ac:dyDescent="0.35">
      <c r="A299" s="16">
        <v>46153</v>
      </c>
      <c r="B299" s="17" t="s">
        <v>30</v>
      </c>
      <c r="C299" s="13">
        <v>8</v>
      </c>
      <c r="D299" s="11">
        <f>VLOOKUP(B299,[1]lantai9!$B:$G,6,FALSE)</f>
        <v>3500</v>
      </c>
      <c r="E299" s="11">
        <f>VLOOKUP(B299,karyawan!B:D,3,FALSE)</f>
        <v>2500</v>
      </c>
      <c r="F299" s="11" t="str">
        <f>VLOOKUP(B299,karyawan!B:E,4,FALSE)</f>
        <v>Compliance</v>
      </c>
      <c r="G299" s="12">
        <v>20</v>
      </c>
      <c r="H299" s="12"/>
      <c r="I299" s="12">
        <v>20</v>
      </c>
      <c r="J299" s="13">
        <v>18</v>
      </c>
      <c r="K299" s="14">
        <f t="shared" si="12"/>
        <v>2</v>
      </c>
      <c r="L299" s="13">
        <v>18</v>
      </c>
      <c r="M299" s="13">
        <f t="shared" si="14"/>
        <v>2</v>
      </c>
      <c r="N299" s="15">
        <f t="shared" si="13"/>
        <v>7000</v>
      </c>
    </row>
    <row r="300" spans="1:14" ht="15" thickBot="1" x14ac:dyDescent="0.35">
      <c r="A300" s="16">
        <v>46153</v>
      </c>
      <c r="B300" s="17" t="s">
        <v>34</v>
      </c>
      <c r="C300" s="13">
        <v>8</v>
      </c>
      <c r="D300" s="11">
        <f>VLOOKUP(B300,[1]lantai9!$B:$G,6,FALSE)</f>
        <v>5500</v>
      </c>
      <c r="E300" s="11">
        <f>VLOOKUP(B300,karyawan!B:D,3,FALSE)</f>
        <v>4500</v>
      </c>
      <c r="F300" s="11" t="str">
        <f>VLOOKUP(B300,karyawan!B:E,4,FALSE)</f>
        <v>Compliance</v>
      </c>
      <c r="G300" s="12">
        <v>8</v>
      </c>
      <c r="H300" s="12"/>
      <c r="I300" s="12">
        <v>8</v>
      </c>
      <c r="J300" s="13">
        <v>7</v>
      </c>
      <c r="K300" s="14">
        <f t="shared" si="12"/>
        <v>5</v>
      </c>
      <c r="L300" s="13">
        <v>3</v>
      </c>
      <c r="M300" s="13">
        <f t="shared" si="14"/>
        <v>5</v>
      </c>
      <c r="N300" s="15">
        <f t="shared" si="13"/>
        <v>27500</v>
      </c>
    </row>
    <row r="301" spans="1:14" ht="15" thickBot="1" x14ac:dyDescent="0.35">
      <c r="A301" s="16">
        <v>46153</v>
      </c>
      <c r="B301" s="17" t="s">
        <v>35</v>
      </c>
      <c r="C301" s="13">
        <v>8</v>
      </c>
      <c r="D301" s="11">
        <f>VLOOKUP(B301,[1]lantai9!$B:$G,6,FALSE)</f>
        <v>9000</v>
      </c>
      <c r="E301" s="11">
        <f>VLOOKUP(B301,karyawan!B:D,3,FALSE)</f>
        <v>8000</v>
      </c>
      <c r="F301" s="11" t="str">
        <f>VLOOKUP(B301,karyawan!B:E,4,FALSE)</f>
        <v>Compliance</v>
      </c>
      <c r="G301" s="12">
        <v>3</v>
      </c>
      <c r="H301" s="12"/>
      <c r="I301" s="12">
        <v>3</v>
      </c>
      <c r="J301" s="13">
        <v>6</v>
      </c>
      <c r="K301" s="14">
        <f t="shared" si="12"/>
        <v>0</v>
      </c>
      <c r="L301" s="13">
        <v>3</v>
      </c>
      <c r="M301" s="13">
        <f t="shared" si="14"/>
        <v>0</v>
      </c>
      <c r="N301" s="15">
        <f t="shared" si="13"/>
        <v>0</v>
      </c>
    </row>
    <row r="302" spans="1:14" ht="15" thickBot="1" x14ac:dyDescent="0.35">
      <c r="A302" s="16">
        <v>46153</v>
      </c>
      <c r="B302" s="10" t="s">
        <v>12</v>
      </c>
      <c r="C302" s="13">
        <v>9</v>
      </c>
      <c r="D302" s="11">
        <f>VLOOKUP(B302,[1]lantai9!$B:$G,6,FALSE)</f>
        <v>35000</v>
      </c>
      <c r="E302" s="11">
        <f>VLOOKUP(B302,karyawan!B:D,3,FALSE)</f>
        <v>34000</v>
      </c>
      <c r="F302" s="11" t="str">
        <f>VLOOKUP(B302,karyawan!B:E,4,FALSE)</f>
        <v>Florida</v>
      </c>
      <c r="G302" s="12">
        <v>5</v>
      </c>
      <c r="H302" s="12"/>
      <c r="I302" s="13">
        <v>4</v>
      </c>
      <c r="J302" s="13">
        <v>4</v>
      </c>
      <c r="K302" s="14">
        <f t="shared" si="12"/>
        <v>1</v>
      </c>
      <c r="L302" s="13">
        <v>4</v>
      </c>
      <c r="M302" s="13">
        <f t="shared" si="14"/>
        <v>0</v>
      </c>
      <c r="N302" s="15">
        <f t="shared" si="13"/>
        <v>0</v>
      </c>
    </row>
    <row r="303" spans="1:14" ht="15" thickBot="1" x14ac:dyDescent="0.35">
      <c r="A303" s="16">
        <v>46153</v>
      </c>
      <c r="B303" s="10" t="s">
        <v>13</v>
      </c>
      <c r="C303" s="13">
        <v>9</v>
      </c>
      <c r="D303" s="11">
        <f>VLOOKUP(B303,[1]lantai9!$B:$G,6,FALSE)</f>
        <v>23000</v>
      </c>
      <c r="E303" s="11">
        <f>VLOOKUP(B303,karyawan!B:D,3,FALSE)</f>
        <v>22000</v>
      </c>
      <c r="F303" s="11" t="str">
        <f>VLOOKUP(B303,karyawan!B:E,4,FALSE)</f>
        <v>Yohannes</v>
      </c>
      <c r="G303" s="12">
        <v>6</v>
      </c>
      <c r="H303" s="12"/>
      <c r="I303" s="13">
        <v>2</v>
      </c>
      <c r="J303" s="13">
        <v>2</v>
      </c>
      <c r="K303" s="14">
        <f t="shared" si="12"/>
        <v>4</v>
      </c>
      <c r="L303" s="13">
        <v>2</v>
      </c>
      <c r="M303" s="13">
        <f t="shared" si="14"/>
        <v>0</v>
      </c>
      <c r="N303" s="15">
        <f t="shared" si="13"/>
        <v>0</v>
      </c>
    </row>
    <row r="304" spans="1:14" ht="15" thickBot="1" x14ac:dyDescent="0.35">
      <c r="A304" s="16">
        <v>46153</v>
      </c>
      <c r="B304" s="10" t="s">
        <v>14</v>
      </c>
      <c r="C304" s="13">
        <v>9</v>
      </c>
      <c r="D304" s="11">
        <f>VLOOKUP(B304,[1]lantai9!$B:$G,6,FALSE)</f>
        <v>21000</v>
      </c>
      <c r="E304" s="11">
        <f>VLOOKUP(B304,karyawan!B:D,3,FALSE)</f>
        <v>20000</v>
      </c>
      <c r="F304" s="11" t="str">
        <f>VLOOKUP(B304,karyawan!B:E,4,FALSE)</f>
        <v>Damaz</v>
      </c>
      <c r="G304" s="12">
        <v>2</v>
      </c>
      <c r="H304" s="12"/>
      <c r="I304" s="13">
        <v>0</v>
      </c>
      <c r="J304" s="13">
        <v>0</v>
      </c>
      <c r="K304" s="14">
        <f t="shared" si="12"/>
        <v>2</v>
      </c>
      <c r="L304" s="13">
        <v>0</v>
      </c>
      <c r="M304" s="13">
        <f t="shared" si="14"/>
        <v>0</v>
      </c>
      <c r="N304" s="15">
        <f t="shared" si="13"/>
        <v>0</v>
      </c>
    </row>
    <row r="305" spans="1:14" ht="15" thickBot="1" x14ac:dyDescent="0.35">
      <c r="A305" s="16">
        <v>46153</v>
      </c>
      <c r="B305" s="10" t="s">
        <v>15</v>
      </c>
      <c r="C305" s="13">
        <v>9</v>
      </c>
      <c r="D305" s="11">
        <f>VLOOKUP(B305,[1]lantai9!$B:$G,6,FALSE)</f>
        <v>36000</v>
      </c>
      <c r="E305" s="11">
        <f>VLOOKUP(B305,karyawan!B:D,3,FALSE)</f>
        <v>35000</v>
      </c>
      <c r="F305" s="11" t="str">
        <f>VLOOKUP(B305,karyawan!B:E,4,FALSE)</f>
        <v>Damaz</v>
      </c>
      <c r="G305" s="12">
        <v>3</v>
      </c>
      <c r="H305" s="12"/>
      <c r="I305" s="13">
        <v>0</v>
      </c>
      <c r="J305" s="13">
        <v>0</v>
      </c>
      <c r="K305" s="14">
        <f t="shared" si="12"/>
        <v>3</v>
      </c>
      <c r="L305" s="13">
        <v>0</v>
      </c>
      <c r="M305" s="13">
        <f t="shared" si="14"/>
        <v>0</v>
      </c>
      <c r="N305" s="15">
        <f t="shared" si="13"/>
        <v>0</v>
      </c>
    </row>
    <row r="306" spans="1:14" ht="15" thickBot="1" x14ac:dyDescent="0.35">
      <c r="A306" s="16">
        <v>46153</v>
      </c>
      <c r="B306" s="10" t="s">
        <v>16</v>
      </c>
      <c r="C306" s="13">
        <v>9</v>
      </c>
      <c r="D306" s="11">
        <f>VLOOKUP(B306,[1]lantai9!$B:$G,6,FALSE)</f>
        <v>23000</v>
      </c>
      <c r="E306" s="11">
        <f>VLOOKUP(B306,karyawan!B:D,3,FALSE)</f>
        <v>22000</v>
      </c>
      <c r="F306" s="11" t="str">
        <f>VLOOKUP(B306,karyawan!B:E,4,FALSE)</f>
        <v>Vale</v>
      </c>
      <c r="G306" s="12">
        <v>5</v>
      </c>
      <c r="H306" s="12"/>
      <c r="I306" s="13">
        <v>0</v>
      </c>
      <c r="J306" s="13">
        <v>0</v>
      </c>
      <c r="K306" s="14">
        <f t="shared" si="12"/>
        <v>5</v>
      </c>
      <c r="L306" s="13">
        <v>0</v>
      </c>
      <c r="M306" s="13">
        <f t="shared" si="14"/>
        <v>0</v>
      </c>
      <c r="N306" s="15">
        <f t="shared" si="13"/>
        <v>0</v>
      </c>
    </row>
    <row r="307" spans="1:14" ht="15" thickBot="1" x14ac:dyDescent="0.35">
      <c r="A307" s="16">
        <v>46153</v>
      </c>
      <c r="B307" s="10" t="s">
        <v>17</v>
      </c>
      <c r="C307" s="13">
        <v>9</v>
      </c>
      <c r="D307" s="11">
        <f>VLOOKUP(B307,[1]lantai9!$B:$G,6,FALSE)</f>
        <v>15000</v>
      </c>
      <c r="E307" s="11">
        <f>VLOOKUP(B307,karyawan!B:D,3,FALSE)</f>
        <v>14000</v>
      </c>
      <c r="F307" s="11" t="str">
        <f>VLOOKUP(B307,karyawan!B:E,4,FALSE)</f>
        <v>Desy</v>
      </c>
      <c r="G307" s="12">
        <v>6</v>
      </c>
      <c r="H307" s="12"/>
      <c r="I307" s="13">
        <v>3</v>
      </c>
      <c r="J307" s="13">
        <v>1</v>
      </c>
      <c r="K307" s="14">
        <f t="shared" si="12"/>
        <v>6</v>
      </c>
      <c r="L307" s="13">
        <v>0</v>
      </c>
      <c r="M307" s="13">
        <f t="shared" si="14"/>
        <v>3</v>
      </c>
      <c r="N307" s="15">
        <f t="shared" si="13"/>
        <v>45000</v>
      </c>
    </row>
    <row r="308" spans="1:14" ht="15" thickBot="1" x14ac:dyDescent="0.35">
      <c r="A308" s="16">
        <v>46153</v>
      </c>
      <c r="B308" s="10" t="s">
        <v>31</v>
      </c>
      <c r="C308" s="13">
        <v>9</v>
      </c>
      <c r="D308" s="11">
        <f>VLOOKUP(B308,[1]lantai9!$B:$G,6,FALSE)</f>
        <v>18000</v>
      </c>
      <c r="E308" s="11">
        <f>VLOOKUP(B308,karyawan!B:D,3,FALSE)</f>
        <v>17000</v>
      </c>
      <c r="F308" s="11" t="str">
        <f>VLOOKUP(B308,karyawan!B:E,4,FALSE)</f>
        <v>Geby</v>
      </c>
      <c r="G308" s="12">
        <v>4</v>
      </c>
      <c r="H308" s="12"/>
      <c r="I308" s="12">
        <v>4</v>
      </c>
      <c r="J308" s="13">
        <v>-1</v>
      </c>
      <c r="K308" s="14">
        <f t="shared" si="12"/>
        <v>4</v>
      </c>
      <c r="L308" s="13">
        <v>0</v>
      </c>
      <c r="M308" s="13">
        <f t="shared" si="14"/>
        <v>4</v>
      </c>
      <c r="N308" s="15">
        <f t="shared" si="13"/>
        <v>72000</v>
      </c>
    </row>
    <row r="309" spans="1:14" ht="15" thickBot="1" x14ac:dyDescent="0.35">
      <c r="A309" s="16">
        <v>46153</v>
      </c>
      <c r="B309" s="10" t="s">
        <v>32</v>
      </c>
      <c r="C309" s="13">
        <v>9</v>
      </c>
      <c r="D309" s="11">
        <f>VLOOKUP(B309,[1]lantai9!$B:$G,6,FALSE)</f>
        <v>21000</v>
      </c>
      <c r="E309" s="11">
        <f>VLOOKUP(B309,karyawan!B:D,3,FALSE)</f>
        <v>20000</v>
      </c>
      <c r="F309" s="11" t="str">
        <f>VLOOKUP(B309,karyawan!B:E,4,FALSE)</f>
        <v>Geby</v>
      </c>
      <c r="G309" s="12">
        <v>3</v>
      </c>
      <c r="H309" s="12"/>
      <c r="I309" s="12">
        <v>3</v>
      </c>
      <c r="J309" s="13">
        <v>0</v>
      </c>
      <c r="K309" s="14">
        <f t="shared" si="12"/>
        <v>2</v>
      </c>
      <c r="L309" s="13">
        <v>1</v>
      </c>
      <c r="M309" s="13">
        <f t="shared" si="14"/>
        <v>2</v>
      </c>
      <c r="N309" s="15">
        <f t="shared" si="13"/>
        <v>42000</v>
      </c>
    </row>
    <row r="310" spans="1:14" ht="15" thickBot="1" x14ac:dyDescent="0.35">
      <c r="A310" s="16">
        <v>46153</v>
      </c>
      <c r="B310" s="10" t="s">
        <v>33</v>
      </c>
      <c r="C310" s="13">
        <v>9</v>
      </c>
      <c r="D310" s="11">
        <f>VLOOKUP(B310,[1]lantai9!$B:$G,6,FALSE)</f>
        <v>35000</v>
      </c>
      <c r="E310" s="11">
        <f>VLOOKUP(B310,karyawan!B:D,3,FALSE)</f>
        <v>34000</v>
      </c>
      <c r="F310" s="11" t="str">
        <f>VLOOKUP(B310,karyawan!B:E,4,FALSE)</f>
        <v>Sherly</v>
      </c>
      <c r="G310" s="12">
        <v>2</v>
      </c>
      <c r="H310" s="12"/>
      <c r="I310" s="12">
        <v>2</v>
      </c>
      <c r="J310" s="13">
        <v>0</v>
      </c>
      <c r="K310" s="14">
        <f t="shared" si="12"/>
        <v>0</v>
      </c>
      <c r="L310" s="13">
        <v>2</v>
      </c>
      <c r="M310" s="13">
        <f t="shared" si="14"/>
        <v>0</v>
      </c>
      <c r="N310" s="15">
        <f t="shared" si="13"/>
        <v>0</v>
      </c>
    </row>
    <row r="311" spans="1:14" ht="15" thickBot="1" x14ac:dyDescent="0.35">
      <c r="A311" s="16">
        <v>46153</v>
      </c>
      <c r="B311" s="10" t="s">
        <v>21</v>
      </c>
      <c r="C311" s="13">
        <v>9</v>
      </c>
      <c r="D311" s="11">
        <f>VLOOKUP(B311,[1]lantai9!$B:$G,6,FALSE)</f>
        <v>40000</v>
      </c>
      <c r="E311" s="11">
        <f>VLOOKUP(B311,karyawan!B:D,3,FALSE)</f>
        <v>39000</v>
      </c>
      <c r="F311" s="11" t="str">
        <f>VLOOKUP(B311,karyawan!B:E,4,FALSE)</f>
        <v>Sherly</v>
      </c>
      <c r="G311" s="12">
        <v>4</v>
      </c>
      <c r="H311" s="12"/>
      <c r="I311" s="12">
        <v>4</v>
      </c>
      <c r="J311" s="13">
        <v>4</v>
      </c>
      <c r="K311" s="14">
        <f t="shared" si="12"/>
        <v>1</v>
      </c>
      <c r="L311" s="13">
        <v>3</v>
      </c>
      <c r="M311" s="13">
        <f t="shared" si="14"/>
        <v>1</v>
      </c>
      <c r="N311" s="15">
        <f t="shared" si="13"/>
        <v>40000</v>
      </c>
    </row>
    <row r="312" spans="1:14" ht="15" thickBot="1" x14ac:dyDescent="0.35">
      <c r="A312" s="16">
        <v>46153</v>
      </c>
      <c r="B312" s="10" t="s">
        <v>22</v>
      </c>
      <c r="C312" s="13">
        <v>9</v>
      </c>
      <c r="D312" s="11">
        <f>VLOOKUP(B312,[1]lantai9!$B:$G,6,FALSE)</f>
        <v>2500</v>
      </c>
      <c r="E312" s="11">
        <f>VLOOKUP(B312,karyawan!B:D,3,FALSE)</f>
        <v>1480</v>
      </c>
      <c r="F312" s="11" t="str">
        <f>VLOOKUP(B312,karyawan!B:E,4,FALSE)</f>
        <v>Compliance</v>
      </c>
      <c r="G312" s="12">
        <v>12</v>
      </c>
      <c r="H312" s="12"/>
      <c r="I312" s="12">
        <v>4</v>
      </c>
      <c r="J312" s="13">
        <v>3</v>
      </c>
      <c r="K312" s="14">
        <f t="shared" si="12"/>
        <v>9</v>
      </c>
      <c r="L312" s="13">
        <v>3</v>
      </c>
      <c r="M312" s="13">
        <f t="shared" si="14"/>
        <v>1</v>
      </c>
      <c r="N312" s="15">
        <f t="shared" si="13"/>
        <v>2500</v>
      </c>
    </row>
    <row r="313" spans="1:14" ht="15" thickBot="1" x14ac:dyDescent="0.35">
      <c r="A313" s="16">
        <v>46153</v>
      </c>
      <c r="B313" s="10" t="s">
        <v>23</v>
      </c>
      <c r="C313" s="13">
        <v>9</v>
      </c>
      <c r="D313" s="11">
        <f>VLOOKUP(B313,[1]lantai9!$B:$G,6,FALSE)</f>
        <v>2000</v>
      </c>
      <c r="E313" s="11">
        <f>VLOOKUP(B313,karyawan!B:D,3,FALSE)</f>
        <v>1074</v>
      </c>
      <c r="F313" s="11" t="str">
        <f>VLOOKUP(B313,karyawan!B:E,4,FALSE)</f>
        <v>Compliance</v>
      </c>
      <c r="G313" s="12">
        <v>10</v>
      </c>
      <c r="H313" s="12"/>
      <c r="I313" s="12">
        <v>10</v>
      </c>
      <c r="J313" s="13">
        <v>14</v>
      </c>
      <c r="K313" s="14">
        <f t="shared" si="12"/>
        <v>6</v>
      </c>
      <c r="L313" s="13">
        <v>4</v>
      </c>
      <c r="M313" s="13">
        <f t="shared" si="14"/>
        <v>6</v>
      </c>
      <c r="N313" s="15">
        <f t="shared" si="13"/>
        <v>12000</v>
      </c>
    </row>
    <row r="314" spans="1:14" ht="15" thickBot="1" x14ac:dyDescent="0.35">
      <c r="A314" s="16">
        <v>46153</v>
      </c>
      <c r="B314" s="10" t="s">
        <v>24</v>
      </c>
      <c r="C314" s="13">
        <v>9</v>
      </c>
      <c r="D314" s="11">
        <f>VLOOKUP(B314,[1]lantai9!$B:$G,6,FALSE)</f>
        <v>2500</v>
      </c>
      <c r="E314" s="11">
        <f>VLOOKUP(B314,karyawan!B:D,3,FALSE)</f>
        <v>1465</v>
      </c>
      <c r="F314" s="11" t="str">
        <f>VLOOKUP(B314,karyawan!B:E,4,FALSE)</f>
        <v>Compliance</v>
      </c>
      <c r="G314" s="12">
        <v>10</v>
      </c>
      <c r="H314" s="12"/>
      <c r="I314" s="12">
        <v>10</v>
      </c>
      <c r="J314" s="13">
        <v>3</v>
      </c>
      <c r="K314" s="14">
        <f t="shared" si="12"/>
        <v>7</v>
      </c>
      <c r="L314" s="13">
        <v>3</v>
      </c>
      <c r="M314" s="13">
        <f t="shared" si="14"/>
        <v>7</v>
      </c>
      <c r="N314" s="15">
        <f t="shared" si="13"/>
        <v>17500</v>
      </c>
    </row>
    <row r="315" spans="1:14" ht="15" thickBot="1" x14ac:dyDescent="0.35">
      <c r="A315" s="16">
        <v>46153</v>
      </c>
      <c r="B315" s="10" t="s">
        <v>25</v>
      </c>
      <c r="C315" s="13">
        <v>9</v>
      </c>
      <c r="D315" s="11">
        <f>VLOOKUP(B315,[1]lantai9!$B:$G,6,FALSE)</f>
        <v>10000</v>
      </c>
      <c r="E315" s="11">
        <f>VLOOKUP(B315,karyawan!B:D,3,FALSE)</f>
        <v>9200</v>
      </c>
      <c r="F315" s="11" t="str">
        <f>VLOOKUP(B315,karyawan!B:E,4,FALSE)</f>
        <v>Compliance</v>
      </c>
      <c r="G315" s="12">
        <v>15</v>
      </c>
      <c r="H315" s="12"/>
      <c r="I315" s="12">
        <v>15</v>
      </c>
      <c r="J315" s="13">
        <v>15</v>
      </c>
      <c r="K315" s="14">
        <f t="shared" si="12"/>
        <v>0</v>
      </c>
      <c r="L315" s="13">
        <v>15</v>
      </c>
      <c r="M315" s="13">
        <f t="shared" si="14"/>
        <v>0</v>
      </c>
      <c r="N315" s="15">
        <f t="shared" si="13"/>
        <v>0</v>
      </c>
    </row>
    <row r="316" spans="1:14" ht="15" thickBot="1" x14ac:dyDescent="0.35">
      <c r="A316" s="16">
        <v>46153</v>
      </c>
      <c r="B316" s="10" t="s">
        <v>26</v>
      </c>
      <c r="C316" s="13">
        <v>9</v>
      </c>
      <c r="D316" s="11">
        <f>VLOOKUP(B316,[1]lantai9!$B:$G,6,FALSE)</f>
        <v>15000</v>
      </c>
      <c r="E316" s="11">
        <f>VLOOKUP(B316,karyawan!B:D,3,FALSE)</f>
        <v>13807</v>
      </c>
      <c r="F316" s="11" t="str">
        <f>VLOOKUP(B316,karyawan!B:E,4,FALSE)</f>
        <v>Compliance</v>
      </c>
      <c r="G316" s="12">
        <v>10</v>
      </c>
      <c r="H316" s="12"/>
      <c r="I316" s="12">
        <v>10</v>
      </c>
      <c r="J316" s="13">
        <v>1</v>
      </c>
      <c r="K316" s="14">
        <f t="shared" si="12"/>
        <v>10</v>
      </c>
      <c r="L316" s="13">
        <v>0</v>
      </c>
      <c r="M316" s="13">
        <f t="shared" si="14"/>
        <v>10</v>
      </c>
      <c r="N316" s="15">
        <f t="shared" si="13"/>
        <v>150000</v>
      </c>
    </row>
    <row r="317" spans="1:14" ht="15" thickBot="1" x14ac:dyDescent="0.35">
      <c r="A317" s="16">
        <v>46153</v>
      </c>
      <c r="B317" s="10" t="s">
        <v>27</v>
      </c>
      <c r="C317" s="13">
        <v>9</v>
      </c>
      <c r="D317" s="11">
        <f>VLOOKUP(B317,[1]lantai9!$B:$G,6,FALSE)</f>
        <v>23000</v>
      </c>
      <c r="E317" s="11">
        <f>VLOOKUP(B317,karyawan!B:D,3,FALSE)</f>
        <v>21760</v>
      </c>
      <c r="F317" s="11" t="str">
        <f>VLOOKUP(B317,karyawan!B:E,4,FALSE)</f>
        <v>Compliance</v>
      </c>
      <c r="G317" s="12">
        <v>7</v>
      </c>
      <c r="H317" s="12"/>
      <c r="I317" s="12">
        <v>4</v>
      </c>
      <c r="J317" s="13">
        <v>2</v>
      </c>
      <c r="K317" s="14">
        <f t="shared" si="12"/>
        <v>5</v>
      </c>
      <c r="L317" s="13">
        <v>2</v>
      </c>
      <c r="M317" s="13">
        <f t="shared" si="14"/>
        <v>2</v>
      </c>
      <c r="N317" s="15">
        <f t="shared" si="13"/>
        <v>46000</v>
      </c>
    </row>
    <row r="318" spans="1:14" ht="15" thickBot="1" x14ac:dyDescent="0.35">
      <c r="A318" s="16">
        <v>46153</v>
      </c>
      <c r="B318" s="17" t="s">
        <v>28</v>
      </c>
      <c r="C318" s="13">
        <v>9</v>
      </c>
      <c r="D318" s="11">
        <f>VLOOKUP(B318,[1]lantai9!$B:$G,6,FALSE)</f>
        <v>11000</v>
      </c>
      <c r="E318" s="11">
        <f>VLOOKUP(B318,karyawan!B:D,3,FALSE)</f>
        <v>10000</v>
      </c>
      <c r="F318" s="11" t="str">
        <f>VLOOKUP(B318,karyawan!B:E,4,FALSE)</f>
        <v>Compliance</v>
      </c>
      <c r="G318" s="12">
        <v>8</v>
      </c>
      <c r="H318" s="12"/>
      <c r="I318" s="12">
        <v>8</v>
      </c>
      <c r="J318" s="13">
        <v>6</v>
      </c>
      <c r="K318" s="14">
        <f t="shared" si="12"/>
        <v>3</v>
      </c>
      <c r="L318" s="12">
        <v>5</v>
      </c>
      <c r="M318" s="13">
        <f t="shared" si="14"/>
        <v>3</v>
      </c>
      <c r="N318" s="15">
        <f t="shared" si="13"/>
        <v>33000</v>
      </c>
    </row>
    <row r="319" spans="1:14" ht="15" thickBot="1" x14ac:dyDescent="0.35">
      <c r="A319" s="16">
        <v>46153</v>
      </c>
      <c r="B319" s="17" t="s">
        <v>29</v>
      </c>
      <c r="C319" s="13">
        <v>9</v>
      </c>
      <c r="D319" s="11">
        <f>VLOOKUP(B319,[1]lantai9!$B:$G,6,FALSE)</f>
        <v>14500</v>
      </c>
      <c r="E319" s="11">
        <f>VLOOKUP(B319,karyawan!B:D,3,FALSE)</f>
        <v>13500</v>
      </c>
      <c r="F319" s="11" t="str">
        <f>VLOOKUP(B319,karyawan!B:E,4,FALSE)</f>
        <v>Compliance</v>
      </c>
      <c r="G319" s="12">
        <v>6</v>
      </c>
      <c r="H319" s="12"/>
      <c r="I319" s="12">
        <v>6</v>
      </c>
      <c r="J319" s="13">
        <v>4</v>
      </c>
      <c r="K319" s="14">
        <f t="shared" si="12"/>
        <v>3</v>
      </c>
      <c r="L319" s="13">
        <v>3</v>
      </c>
      <c r="M319" s="13">
        <f t="shared" si="14"/>
        <v>3</v>
      </c>
      <c r="N319" s="15">
        <f t="shared" si="13"/>
        <v>43500</v>
      </c>
    </row>
    <row r="320" spans="1:14" ht="15" thickBot="1" x14ac:dyDescent="0.35">
      <c r="A320" s="16">
        <v>46153</v>
      </c>
      <c r="B320" s="17" t="s">
        <v>30</v>
      </c>
      <c r="C320" s="13">
        <v>9</v>
      </c>
      <c r="D320" s="11">
        <f>VLOOKUP(B320,[1]lantai9!$B:$G,6,FALSE)</f>
        <v>3500</v>
      </c>
      <c r="E320" s="11">
        <f>VLOOKUP(B320,karyawan!B:D,3,FALSE)</f>
        <v>2500</v>
      </c>
      <c r="F320" s="11" t="str">
        <f>VLOOKUP(B320,karyawan!B:E,4,FALSE)</f>
        <v>Compliance</v>
      </c>
      <c r="G320" s="12">
        <v>20</v>
      </c>
      <c r="H320" s="12"/>
      <c r="I320" s="12">
        <v>20</v>
      </c>
      <c r="J320" s="13">
        <v>18</v>
      </c>
      <c r="K320" s="14">
        <f t="shared" si="12"/>
        <v>2</v>
      </c>
      <c r="L320" s="13">
        <v>18</v>
      </c>
      <c r="M320" s="13">
        <f t="shared" si="14"/>
        <v>2</v>
      </c>
      <c r="N320" s="15">
        <f t="shared" si="13"/>
        <v>7000</v>
      </c>
    </row>
    <row r="321" spans="1:14" ht="15" thickBot="1" x14ac:dyDescent="0.35">
      <c r="A321" s="16">
        <v>46153</v>
      </c>
      <c r="B321" s="17" t="s">
        <v>34</v>
      </c>
      <c r="C321" s="13">
        <v>9</v>
      </c>
      <c r="D321" s="11">
        <f>VLOOKUP(B321,[1]lantai9!$B:$G,6,FALSE)</f>
        <v>5500</v>
      </c>
      <c r="E321" s="11">
        <f>VLOOKUP(B321,karyawan!B:D,3,FALSE)</f>
        <v>4500</v>
      </c>
      <c r="F321" s="11" t="str">
        <f>VLOOKUP(B321,karyawan!B:E,4,FALSE)</f>
        <v>Compliance</v>
      </c>
      <c r="G321" s="12">
        <v>8</v>
      </c>
      <c r="H321" s="12"/>
      <c r="I321" s="12">
        <v>8</v>
      </c>
      <c r="J321" s="13">
        <v>4</v>
      </c>
      <c r="K321" s="14">
        <f t="shared" si="12"/>
        <v>4</v>
      </c>
      <c r="L321" s="13">
        <v>4</v>
      </c>
      <c r="M321" s="13">
        <f t="shared" si="14"/>
        <v>4</v>
      </c>
      <c r="N321" s="15">
        <f t="shared" si="13"/>
        <v>22000</v>
      </c>
    </row>
    <row r="322" spans="1:14" ht="15" thickBot="1" x14ac:dyDescent="0.35">
      <c r="A322" s="16">
        <v>46153</v>
      </c>
      <c r="B322" s="17" t="s">
        <v>35</v>
      </c>
      <c r="C322" s="13">
        <v>9</v>
      </c>
      <c r="D322" s="11">
        <f>VLOOKUP(B322,[1]lantai9!$B:$G,6,FALSE)</f>
        <v>9000</v>
      </c>
      <c r="E322" s="11">
        <f>VLOOKUP(B322,karyawan!B:D,3,FALSE)</f>
        <v>8000</v>
      </c>
      <c r="F322" s="11" t="str">
        <f>VLOOKUP(B322,karyawan!B:E,4,FALSE)</f>
        <v>Compliance</v>
      </c>
      <c r="G322" s="12">
        <v>3</v>
      </c>
      <c r="H322" s="12"/>
      <c r="I322" s="12">
        <v>3</v>
      </c>
      <c r="J322" s="13">
        <v>5</v>
      </c>
      <c r="K322" s="14">
        <f t="shared" si="12"/>
        <v>2</v>
      </c>
      <c r="L322" s="13">
        <v>1</v>
      </c>
      <c r="M322" s="13">
        <f t="shared" si="14"/>
        <v>2</v>
      </c>
      <c r="N322" s="15">
        <f t="shared" ref="N322:N385" si="15">M322*D322</f>
        <v>18000</v>
      </c>
    </row>
    <row r="323" spans="1:14" ht="20.25" customHeight="1" thickBot="1" x14ac:dyDescent="0.35">
      <c r="A323" s="16">
        <v>46154</v>
      </c>
      <c r="B323" s="10" t="s">
        <v>12</v>
      </c>
      <c r="C323" s="13">
        <v>3</v>
      </c>
      <c r="D323" s="11">
        <f>VLOOKUP(B323,[1]lantai9!$B:$G,6,FALSE)</f>
        <v>35000</v>
      </c>
      <c r="E323" s="11">
        <f>VLOOKUP(B323,karyawan!B:D,3,FALSE)</f>
        <v>34000</v>
      </c>
      <c r="F323" s="11" t="str">
        <f>VLOOKUP(B323,karyawan!B:E,4,FALSE)</f>
        <v>Florida</v>
      </c>
      <c r="G323" s="12">
        <v>5</v>
      </c>
      <c r="H323" s="40">
        <f>IFERROR(Inventory!$D23,"0")</f>
        <v>0</v>
      </c>
      <c r="I323" s="13">
        <v>4</v>
      </c>
      <c r="J323" s="43">
        <v>1</v>
      </c>
      <c r="K323" s="14">
        <f t="shared" ref="K323:K354" si="16">IF(H323&gt;MAX(G323-L323,0),MAX(G323-L323,0),H323)</f>
        <v>0</v>
      </c>
      <c r="L323" s="13">
        <v>0</v>
      </c>
      <c r="M323" s="13">
        <f t="shared" ref="M323:M385" si="17">MAX($I323-$L323,0)</f>
        <v>4</v>
      </c>
      <c r="N323" s="15">
        <f t="shared" si="15"/>
        <v>140000</v>
      </c>
    </row>
    <row r="324" spans="1:14" ht="15" thickBot="1" x14ac:dyDescent="0.35">
      <c r="A324" s="16">
        <v>46154</v>
      </c>
      <c r="B324" s="10" t="s">
        <v>13</v>
      </c>
      <c r="C324" s="12">
        <v>3</v>
      </c>
      <c r="D324" s="11">
        <f>VLOOKUP(B324,[1]lantai9!$B:$G,6,FALSE)</f>
        <v>23000</v>
      </c>
      <c r="E324" s="11">
        <f>VLOOKUP(B324,karyawan!B:D,3,FALSE)</f>
        <v>22000</v>
      </c>
      <c r="F324" s="11" t="str">
        <f>VLOOKUP(B324,karyawan!B:E,4,FALSE)</f>
        <v>Yohannes</v>
      </c>
      <c r="G324" s="12">
        <v>6</v>
      </c>
      <c r="H324" s="40">
        <f>IFERROR(Inventory!$D24,"0")</f>
        <v>40</v>
      </c>
      <c r="I324" s="13">
        <v>6</v>
      </c>
      <c r="J324" s="43">
        <v>9</v>
      </c>
      <c r="K324" s="14">
        <f t="shared" si="16"/>
        <v>6</v>
      </c>
      <c r="L324" s="13">
        <v>0</v>
      </c>
      <c r="M324" s="13">
        <f t="shared" si="17"/>
        <v>6</v>
      </c>
      <c r="N324" s="15">
        <f t="shared" si="15"/>
        <v>138000</v>
      </c>
    </row>
    <row r="325" spans="1:14" ht="15" thickBot="1" x14ac:dyDescent="0.35">
      <c r="A325" s="16">
        <v>46154</v>
      </c>
      <c r="B325" s="10" t="s">
        <v>14</v>
      </c>
      <c r="C325" s="13">
        <v>3</v>
      </c>
      <c r="D325" s="11">
        <f>VLOOKUP(B325,[1]lantai9!$B:$G,6,FALSE)</f>
        <v>21000</v>
      </c>
      <c r="E325" s="11">
        <f>VLOOKUP(B325,karyawan!B:D,3,FALSE)</f>
        <v>20000</v>
      </c>
      <c r="F325" s="11" t="str">
        <f>VLOOKUP(B325,karyawan!B:E,4,FALSE)</f>
        <v>Damaz</v>
      </c>
      <c r="G325" s="12">
        <v>2</v>
      </c>
      <c r="H325" s="40">
        <f>IFERROR(Inventory!$D25,"0")</f>
        <v>0</v>
      </c>
      <c r="I325" s="13">
        <v>0</v>
      </c>
      <c r="J325" s="43">
        <v>-1</v>
      </c>
      <c r="K325" s="14">
        <f t="shared" si="16"/>
        <v>0</v>
      </c>
      <c r="L325" s="13">
        <v>1</v>
      </c>
      <c r="M325" s="13">
        <f t="shared" si="17"/>
        <v>0</v>
      </c>
      <c r="N325" s="15">
        <f t="shared" si="15"/>
        <v>0</v>
      </c>
    </row>
    <row r="326" spans="1:14" ht="15" thickBot="1" x14ac:dyDescent="0.35">
      <c r="A326" s="16">
        <v>46154</v>
      </c>
      <c r="B326" s="10" t="s">
        <v>15</v>
      </c>
      <c r="C326" s="13">
        <v>3</v>
      </c>
      <c r="D326" s="11">
        <f>VLOOKUP(B326,[1]lantai9!$B:$G,6,FALSE)</f>
        <v>36000</v>
      </c>
      <c r="E326" s="11">
        <f>VLOOKUP(B326,karyawan!B:D,3,FALSE)</f>
        <v>35000</v>
      </c>
      <c r="F326" s="11" t="str">
        <f>VLOOKUP(B326,karyawan!B:E,4,FALSE)</f>
        <v>Damaz</v>
      </c>
      <c r="G326" s="12">
        <v>3</v>
      </c>
      <c r="H326" s="40">
        <f>IFERROR(Inventory!$D26,"0")</f>
        <v>0</v>
      </c>
      <c r="I326" s="13">
        <v>0</v>
      </c>
      <c r="J326" s="43">
        <v>2</v>
      </c>
      <c r="K326" s="14">
        <f t="shared" si="16"/>
        <v>0</v>
      </c>
      <c r="L326" s="13">
        <v>2</v>
      </c>
      <c r="M326" s="13">
        <f t="shared" si="17"/>
        <v>0</v>
      </c>
      <c r="N326" s="15">
        <f t="shared" si="15"/>
        <v>0</v>
      </c>
    </row>
    <row r="327" spans="1:14" ht="15" thickBot="1" x14ac:dyDescent="0.35">
      <c r="A327" s="16">
        <v>46154</v>
      </c>
      <c r="B327" s="10" t="s">
        <v>16</v>
      </c>
      <c r="C327" s="13">
        <v>3</v>
      </c>
      <c r="D327" s="11">
        <f>VLOOKUP(B327,[1]lantai9!$B:$G,6,FALSE)</f>
        <v>23000</v>
      </c>
      <c r="E327" s="11">
        <f>VLOOKUP(B327,karyawan!B:D,3,FALSE)</f>
        <v>22000</v>
      </c>
      <c r="F327" s="11" t="str">
        <f>VLOOKUP(B327,karyawan!B:E,4,FALSE)</f>
        <v>Vale</v>
      </c>
      <c r="G327" s="12">
        <v>5</v>
      </c>
      <c r="H327" s="40">
        <f>IFERROR(Inventory!$D27,"0")</f>
        <v>0</v>
      </c>
      <c r="I327" s="13">
        <v>3</v>
      </c>
      <c r="J327" s="43">
        <v>2</v>
      </c>
      <c r="K327" s="14">
        <f t="shared" si="16"/>
        <v>0</v>
      </c>
      <c r="L327" s="13">
        <v>0</v>
      </c>
      <c r="M327" s="13">
        <f t="shared" si="17"/>
        <v>3</v>
      </c>
      <c r="N327" s="15">
        <f t="shared" si="15"/>
        <v>69000</v>
      </c>
    </row>
    <row r="328" spans="1:14" ht="15" thickBot="1" x14ac:dyDescent="0.35">
      <c r="A328" s="16">
        <v>46154</v>
      </c>
      <c r="B328" s="10" t="s">
        <v>17</v>
      </c>
      <c r="C328" s="13">
        <v>3</v>
      </c>
      <c r="D328" s="11">
        <f>VLOOKUP(B328,[1]lantai9!$B:$G,6,FALSE)</f>
        <v>15000</v>
      </c>
      <c r="E328" s="11">
        <f>VLOOKUP(B328,karyawan!B:D,3,FALSE)</f>
        <v>14000</v>
      </c>
      <c r="F328" s="11" t="str">
        <f>VLOOKUP(B328,karyawan!B:E,4,FALSE)</f>
        <v>Desy</v>
      </c>
      <c r="G328" s="12">
        <v>6</v>
      </c>
      <c r="H328" s="40">
        <f>IFERROR(Inventory!$D28,"0")</f>
        <v>15</v>
      </c>
      <c r="I328" s="13">
        <v>0</v>
      </c>
      <c r="J328" s="43">
        <v>1</v>
      </c>
      <c r="K328" s="14">
        <f t="shared" si="16"/>
        <v>6</v>
      </c>
      <c r="L328" s="13">
        <v>0</v>
      </c>
      <c r="M328" s="13">
        <f t="shared" si="17"/>
        <v>0</v>
      </c>
      <c r="N328" s="15">
        <f t="shared" si="15"/>
        <v>0</v>
      </c>
    </row>
    <row r="329" spans="1:14" ht="15" thickBot="1" x14ac:dyDescent="0.35">
      <c r="A329" s="16">
        <v>46154</v>
      </c>
      <c r="B329" s="10" t="s">
        <v>31</v>
      </c>
      <c r="C329" s="13">
        <v>3</v>
      </c>
      <c r="D329" s="11">
        <f>VLOOKUP(B329,[1]lantai9!$B:$G,6,FALSE)</f>
        <v>18000</v>
      </c>
      <c r="E329" s="11">
        <f>VLOOKUP(B329,karyawan!B:D,3,FALSE)</f>
        <v>17000</v>
      </c>
      <c r="F329" s="11" t="str">
        <f>VLOOKUP(B329,karyawan!B:E,4,FALSE)</f>
        <v>Geby</v>
      </c>
      <c r="G329" s="12">
        <v>4</v>
      </c>
      <c r="H329" s="40">
        <f>IFERROR(Inventory!$D29,"0")</f>
        <v>0</v>
      </c>
      <c r="I329" s="13">
        <v>0</v>
      </c>
      <c r="J329" s="43">
        <v>1</v>
      </c>
      <c r="K329" s="14">
        <f t="shared" si="16"/>
        <v>0</v>
      </c>
      <c r="L329" s="13">
        <v>2</v>
      </c>
      <c r="M329" s="13">
        <f t="shared" si="17"/>
        <v>0</v>
      </c>
      <c r="N329" s="15">
        <f t="shared" si="15"/>
        <v>0</v>
      </c>
    </row>
    <row r="330" spans="1:14" ht="15" thickBot="1" x14ac:dyDescent="0.35">
      <c r="A330" s="16">
        <v>46154</v>
      </c>
      <c r="B330" s="10" t="s">
        <v>32</v>
      </c>
      <c r="C330" s="13">
        <v>3</v>
      </c>
      <c r="D330" s="11">
        <f>VLOOKUP(B330,[1]lantai9!$B:$G,6,FALSE)</f>
        <v>21000</v>
      </c>
      <c r="E330" s="11">
        <f>VLOOKUP(B330,karyawan!B:D,3,FALSE)</f>
        <v>20000</v>
      </c>
      <c r="F330" s="11" t="str">
        <f>VLOOKUP(B330,karyawan!B:E,4,FALSE)</f>
        <v>Geby</v>
      </c>
      <c r="G330" s="12">
        <v>3</v>
      </c>
      <c r="H330" s="40">
        <f>IFERROR(Inventory!$D30,"0")</f>
        <v>0</v>
      </c>
      <c r="I330" s="13">
        <v>1</v>
      </c>
      <c r="J330" s="43">
        <v>0</v>
      </c>
      <c r="K330" s="14">
        <f t="shared" si="16"/>
        <v>0</v>
      </c>
      <c r="L330" s="13">
        <v>0</v>
      </c>
      <c r="M330" s="13">
        <f t="shared" si="17"/>
        <v>1</v>
      </c>
      <c r="N330" s="15">
        <f t="shared" si="15"/>
        <v>21000</v>
      </c>
    </row>
    <row r="331" spans="1:14" ht="15" thickBot="1" x14ac:dyDescent="0.35">
      <c r="A331" s="16">
        <v>46154</v>
      </c>
      <c r="B331" s="10" t="s">
        <v>33</v>
      </c>
      <c r="C331" s="13">
        <v>3</v>
      </c>
      <c r="D331" s="11">
        <f>VLOOKUP(B331,[1]lantai9!$B:$G,6,FALSE)</f>
        <v>35000</v>
      </c>
      <c r="E331" s="11">
        <f>VLOOKUP(B331,karyawan!B:D,3,FALSE)</f>
        <v>34000</v>
      </c>
      <c r="F331" s="11" t="str">
        <f>VLOOKUP(B331,karyawan!B:E,4,FALSE)</f>
        <v>Sherly</v>
      </c>
      <c r="G331" s="12">
        <v>2</v>
      </c>
      <c r="H331" s="40">
        <f>IFERROR(Inventory!$D31,"0")</f>
        <v>15</v>
      </c>
      <c r="I331" s="13">
        <v>2</v>
      </c>
      <c r="J331" s="43">
        <v>2</v>
      </c>
      <c r="K331" s="14">
        <f t="shared" si="16"/>
        <v>1</v>
      </c>
      <c r="L331" s="13">
        <v>1</v>
      </c>
      <c r="M331" s="13">
        <f t="shared" si="17"/>
        <v>1</v>
      </c>
      <c r="N331" s="15">
        <f t="shared" si="15"/>
        <v>35000</v>
      </c>
    </row>
    <row r="332" spans="1:14" ht="15" thickBot="1" x14ac:dyDescent="0.35">
      <c r="A332" s="16">
        <v>46154</v>
      </c>
      <c r="B332" s="10" t="s">
        <v>21</v>
      </c>
      <c r="C332" s="13">
        <v>3</v>
      </c>
      <c r="D332" s="11">
        <f>VLOOKUP(B332,[1]lantai9!$B:$G,6,FALSE)</f>
        <v>40000</v>
      </c>
      <c r="E332" s="11">
        <f>VLOOKUP(B332,karyawan!B:D,3,FALSE)</f>
        <v>39000</v>
      </c>
      <c r="F332" s="11" t="str">
        <f>VLOOKUP(B332,karyawan!B:E,4,FALSE)</f>
        <v>Sherly</v>
      </c>
      <c r="G332" s="12">
        <v>4</v>
      </c>
      <c r="H332" s="40">
        <f>IFERROR(Inventory!$D32,"0")</f>
        <v>21</v>
      </c>
      <c r="I332" s="13">
        <v>4</v>
      </c>
      <c r="J332" s="43">
        <v>3</v>
      </c>
      <c r="K332" s="14">
        <f t="shared" si="16"/>
        <v>2</v>
      </c>
      <c r="L332" s="13">
        <v>2</v>
      </c>
      <c r="M332" s="13">
        <f t="shared" si="17"/>
        <v>2</v>
      </c>
      <c r="N332" s="15">
        <f t="shared" si="15"/>
        <v>80000</v>
      </c>
    </row>
    <row r="333" spans="1:14" ht="15" thickBot="1" x14ac:dyDescent="0.35">
      <c r="A333" s="16">
        <v>46154</v>
      </c>
      <c r="B333" s="10" t="s">
        <v>22</v>
      </c>
      <c r="C333" s="13">
        <v>3</v>
      </c>
      <c r="D333" s="11">
        <f>VLOOKUP(B333,[1]lantai9!$B:$G,6,FALSE)</f>
        <v>2500</v>
      </c>
      <c r="E333" s="11">
        <f>VLOOKUP(B333,karyawan!B:D,3,FALSE)</f>
        <v>1480</v>
      </c>
      <c r="F333" s="11" t="str">
        <f>VLOOKUP(B333,karyawan!B:E,4,FALSE)</f>
        <v>Compliance</v>
      </c>
      <c r="G333" s="12">
        <v>12</v>
      </c>
      <c r="H333" s="40">
        <f>IFERROR(Inventory!$D33,"0")</f>
        <v>0</v>
      </c>
      <c r="I333" s="13">
        <v>3</v>
      </c>
      <c r="J333" s="43">
        <v>3</v>
      </c>
      <c r="K333" s="14">
        <f t="shared" si="16"/>
        <v>0</v>
      </c>
      <c r="L333" s="13">
        <v>3</v>
      </c>
      <c r="M333" s="13">
        <f t="shared" si="17"/>
        <v>0</v>
      </c>
      <c r="N333" s="15">
        <f t="shared" si="15"/>
        <v>0</v>
      </c>
    </row>
    <row r="334" spans="1:14" ht="15" thickBot="1" x14ac:dyDescent="0.35">
      <c r="A334" s="16">
        <v>46154</v>
      </c>
      <c r="B334" s="10" t="s">
        <v>23</v>
      </c>
      <c r="C334" s="13">
        <v>3</v>
      </c>
      <c r="D334" s="11">
        <f>VLOOKUP(B334,[1]lantai9!$B:$G,6,FALSE)</f>
        <v>2000</v>
      </c>
      <c r="E334" s="11">
        <f>VLOOKUP(B334,karyawan!B:D,3,FALSE)</f>
        <v>1074</v>
      </c>
      <c r="F334" s="11" t="str">
        <f>VLOOKUP(B334,karyawan!B:E,4,FALSE)</f>
        <v>Compliance</v>
      </c>
      <c r="G334" s="12">
        <v>10</v>
      </c>
      <c r="H334" s="40">
        <f>IFERROR(Inventory!$D34,"0")</f>
        <v>77</v>
      </c>
      <c r="I334" s="13">
        <v>10</v>
      </c>
      <c r="J334" s="43">
        <v>4</v>
      </c>
      <c r="K334" s="14">
        <f t="shared" si="16"/>
        <v>10</v>
      </c>
      <c r="L334" s="13">
        <v>0</v>
      </c>
      <c r="M334" s="13">
        <f t="shared" si="17"/>
        <v>10</v>
      </c>
      <c r="N334" s="15">
        <f t="shared" si="15"/>
        <v>20000</v>
      </c>
    </row>
    <row r="335" spans="1:14" ht="15" thickBot="1" x14ac:dyDescent="0.35">
      <c r="A335" s="16">
        <v>46154</v>
      </c>
      <c r="B335" s="10" t="s">
        <v>24</v>
      </c>
      <c r="C335" s="13">
        <v>3</v>
      </c>
      <c r="D335" s="11">
        <f>VLOOKUP(B335,[1]lantai9!$B:$G,6,FALSE)</f>
        <v>2500</v>
      </c>
      <c r="E335" s="11">
        <f>VLOOKUP(B335,karyawan!B:D,3,FALSE)</f>
        <v>1465</v>
      </c>
      <c r="F335" s="11" t="str">
        <f>VLOOKUP(B335,karyawan!B:E,4,FALSE)</f>
        <v>Compliance</v>
      </c>
      <c r="G335" s="12">
        <v>10</v>
      </c>
      <c r="H335" s="40">
        <f>IFERROR(Inventory!$D35,"0")</f>
        <v>65</v>
      </c>
      <c r="I335" s="13">
        <v>10</v>
      </c>
      <c r="J335" s="43">
        <v>8</v>
      </c>
      <c r="K335" s="14">
        <f t="shared" si="16"/>
        <v>4</v>
      </c>
      <c r="L335" s="13">
        <v>6</v>
      </c>
      <c r="M335" s="13">
        <f t="shared" si="17"/>
        <v>4</v>
      </c>
      <c r="N335" s="15">
        <f t="shared" si="15"/>
        <v>10000</v>
      </c>
    </row>
    <row r="336" spans="1:14" ht="15" thickBot="1" x14ac:dyDescent="0.35">
      <c r="A336" s="16">
        <v>46154</v>
      </c>
      <c r="B336" s="10" t="s">
        <v>25</v>
      </c>
      <c r="C336" s="13">
        <v>3</v>
      </c>
      <c r="D336" s="11">
        <f>VLOOKUP(B336,[1]lantai9!$B:$G,6,FALSE)</f>
        <v>10000</v>
      </c>
      <c r="E336" s="11">
        <f>VLOOKUP(B336,karyawan!B:D,3,FALSE)</f>
        <v>9200</v>
      </c>
      <c r="F336" s="11" t="str">
        <f>VLOOKUP(B336,karyawan!B:E,4,FALSE)</f>
        <v>Compliance</v>
      </c>
      <c r="G336" s="12">
        <v>15</v>
      </c>
      <c r="H336" s="40">
        <f>IFERROR(Inventory!$D36,"0")</f>
        <v>3</v>
      </c>
      <c r="I336" s="13">
        <v>15</v>
      </c>
      <c r="J336" s="43">
        <v>12</v>
      </c>
      <c r="K336" s="14">
        <f t="shared" si="16"/>
        <v>3</v>
      </c>
      <c r="L336" s="13">
        <v>12</v>
      </c>
      <c r="M336" s="13">
        <f t="shared" si="17"/>
        <v>3</v>
      </c>
      <c r="N336" s="15">
        <f t="shared" si="15"/>
        <v>30000</v>
      </c>
    </row>
    <row r="337" spans="1:14" ht="15" thickBot="1" x14ac:dyDescent="0.35">
      <c r="A337" s="16">
        <v>46154</v>
      </c>
      <c r="B337" s="10" t="s">
        <v>26</v>
      </c>
      <c r="C337" s="13">
        <v>3</v>
      </c>
      <c r="D337" s="11">
        <f>VLOOKUP(B337,[1]lantai9!$B:$G,6,FALSE)</f>
        <v>15000</v>
      </c>
      <c r="E337" s="11">
        <f>VLOOKUP(B337,karyawan!B:D,3,FALSE)</f>
        <v>13807</v>
      </c>
      <c r="F337" s="11" t="str">
        <f>VLOOKUP(B337,karyawan!B:E,4,FALSE)</f>
        <v>Compliance</v>
      </c>
      <c r="G337" s="12">
        <v>10</v>
      </c>
      <c r="H337" s="40">
        <f>IFERROR(Inventory!$D37,"0")</f>
        <v>11</v>
      </c>
      <c r="I337" s="13">
        <v>6</v>
      </c>
      <c r="J337" s="43">
        <v>8</v>
      </c>
      <c r="K337" s="14">
        <f t="shared" si="16"/>
        <v>4</v>
      </c>
      <c r="L337" s="13">
        <v>6</v>
      </c>
      <c r="M337" s="13">
        <f t="shared" si="17"/>
        <v>0</v>
      </c>
      <c r="N337" s="15">
        <f t="shared" si="15"/>
        <v>0</v>
      </c>
    </row>
    <row r="338" spans="1:14" ht="15" thickBot="1" x14ac:dyDescent="0.35">
      <c r="A338" s="16">
        <v>46154</v>
      </c>
      <c r="B338" s="10" t="s">
        <v>27</v>
      </c>
      <c r="C338" s="13">
        <v>3</v>
      </c>
      <c r="D338" s="11">
        <f>VLOOKUP(B338,[1]lantai9!$B:$G,6,FALSE)</f>
        <v>23000</v>
      </c>
      <c r="E338" s="11">
        <f>VLOOKUP(B338,karyawan!B:D,3,FALSE)</f>
        <v>21760</v>
      </c>
      <c r="F338" s="11" t="str">
        <f>VLOOKUP(B338,karyawan!B:E,4,FALSE)</f>
        <v>Compliance</v>
      </c>
      <c r="G338" s="12">
        <v>7</v>
      </c>
      <c r="H338" s="40">
        <f>IFERROR(Inventory!$D38,"0")</f>
        <v>0</v>
      </c>
      <c r="I338" s="13">
        <v>2</v>
      </c>
      <c r="J338" s="43">
        <v>5</v>
      </c>
      <c r="K338" s="14">
        <f t="shared" si="16"/>
        <v>0</v>
      </c>
      <c r="L338" s="13">
        <v>5</v>
      </c>
      <c r="M338" s="13">
        <f t="shared" si="17"/>
        <v>0</v>
      </c>
      <c r="N338" s="15">
        <f t="shared" si="15"/>
        <v>0</v>
      </c>
    </row>
    <row r="339" spans="1:14" ht="15" thickBot="1" x14ac:dyDescent="0.35">
      <c r="A339" s="16">
        <v>46154</v>
      </c>
      <c r="B339" s="17" t="s">
        <v>28</v>
      </c>
      <c r="C339" s="13">
        <v>3</v>
      </c>
      <c r="D339" s="11">
        <f>VLOOKUP(B339,[1]lantai9!$B:$G,6,FALSE)</f>
        <v>11000</v>
      </c>
      <c r="E339" s="11">
        <f>VLOOKUP(B339,karyawan!B:D,3,FALSE)</f>
        <v>10000</v>
      </c>
      <c r="F339" s="11" t="str">
        <f>VLOOKUP(B339,karyawan!B:E,4,FALSE)</f>
        <v>Compliance</v>
      </c>
      <c r="G339" s="12">
        <v>8</v>
      </c>
      <c r="H339" s="40">
        <f>IFERROR(Inventory!$D39,"0")</f>
        <v>12</v>
      </c>
      <c r="I339" s="13">
        <v>5</v>
      </c>
      <c r="J339" s="43">
        <v>4</v>
      </c>
      <c r="K339" s="14">
        <f t="shared" si="16"/>
        <v>3</v>
      </c>
      <c r="L339" s="13">
        <v>5</v>
      </c>
      <c r="M339" s="13">
        <f t="shared" si="17"/>
        <v>0</v>
      </c>
      <c r="N339" s="15">
        <f t="shared" si="15"/>
        <v>0</v>
      </c>
    </row>
    <row r="340" spans="1:14" ht="15" thickBot="1" x14ac:dyDescent="0.35">
      <c r="A340" s="16">
        <v>46154</v>
      </c>
      <c r="B340" s="17" t="s">
        <v>29</v>
      </c>
      <c r="C340" s="13">
        <v>3</v>
      </c>
      <c r="D340" s="11">
        <f>VLOOKUP(B340,[1]lantai9!$B:$G,6,FALSE)</f>
        <v>14500</v>
      </c>
      <c r="E340" s="11">
        <f>VLOOKUP(B340,karyawan!B:D,3,FALSE)</f>
        <v>13500</v>
      </c>
      <c r="F340" s="11" t="str">
        <f>VLOOKUP(B340,karyawan!B:E,4,FALSE)</f>
        <v>Compliance</v>
      </c>
      <c r="G340" s="12">
        <v>6</v>
      </c>
      <c r="H340" s="40">
        <f>IFERROR(Inventory!$D40,"0")</f>
        <v>0</v>
      </c>
      <c r="I340" s="13">
        <v>3</v>
      </c>
      <c r="J340" s="43">
        <v>5</v>
      </c>
      <c r="K340" s="14">
        <f t="shared" si="16"/>
        <v>0</v>
      </c>
      <c r="L340" s="13">
        <v>4</v>
      </c>
      <c r="M340" s="13">
        <f t="shared" si="17"/>
        <v>0</v>
      </c>
      <c r="N340" s="15">
        <f t="shared" si="15"/>
        <v>0</v>
      </c>
    </row>
    <row r="341" spans="1:14" ht="15" thickBot="1" x14ac:dyDescent="0.35">
      <c r="A341" s="16">
        <v>46154</v>
      </c>
      <c r="B341" s="17" t="s">
        <v>30</v>
      </c>
      <c r="C341" s="13">
        <v>3</v>
      </c>
      <c r="D341" s="11">
        <f>VLOOKUP(B341,[1]lantai9!$B:$G,6,FALSE)</f>
        <v>3500</v>
      </c>
      <c r="E341" s="11">
        <f>VLOOKUP(B341,karyawan!B:D,3,FALSE)</f>
        <v>2500</v>
      </c>
      <c r="F341" s="11" t="str">
        <f>VLOOKUP(B341,karyawan!B:E,4,FALSE)</f>
        <v>Compliance</v>
      </c>
      <c r="G341" s="12">
        <v>20</v>
      </c>
      <c r="H341" s="40">
        <f>IFERROR(Inventory!$D41,"0")</f>
        <v>0</v>
      </c>
      <c r="I341" s="13">
        <v>18</v>
      </c>
      <c r="J341" s="43">
        <v>5</v>
      </c>
      <c r="K341" s="14">
        <f t="shared" si="16"/>
        <v>0</v>
      </c>
      <c r="L341" s="13">
        <v>5</v>
      </c>
      <c r="M341" s="13">
        <f t="shared" si="17"/>
        <v>13</v>
      </c>
      <c r="N341" s="15">
        <f t="shared" si="15"/>
        <v>45500</v>
      </c>
    </row>
    <row r="342" spans="1:14" ht="15" thickBot="1" x14ac:dyDescent="0.35">
      <c r="A342" s="16">
        <v>46154</v>
      </c>
      <c r="B342" s="17" t="s">
        <v>34</v>
      </c>
      <c r="C342" s="13">
        <v>3</v>
      </c>
      <c r="D342" s="11">
        <f>VLOOKUP(B342,[1]lantai9!$B:$G,6,FALSE)</f>
        <v>5500</v>
      </c>
      <c r="E342" s="11">
        <f>VLOOKUP(B342,karyawan!B:D,3,FALSE)</f>
        <v>4500</v>
      </c>
      <c r="F342" s="11" t="str">
        <f>VLOOKUP(B342,karyawan!B:E,4,FALSE)</f>
        <v>Compliance</v>
      </c>
      <c r="G342" s="12">
        <v>8</v>
      </c>
      <c r="H342" s="40">
        <f>IFERROR(Inventory!$D42,"0")</f>
        <v>17</v>
      </c>
      <c r="I342" s="13">
        <v>6</v>
      </c>
      <c r="J342" s="43">
        <v>9</v>
      </c>
      <c r="K342" s="14">
        <f t="shared" si="16"/>
        <v>2</v>
      </c>
      <c r="L342" s="13">
        <v>6</v>
      </c>
      <c r="M342" s="13">
        <f t="shared" si="17"/>
        <v>0</v>
      </c>
      <c r="N342" s="15">
        <f t="shared" si="15"/>
        <v>0</v>
      </c>
    </row>
    <row r="343" spans="1:14" ht="15" thickBot="1" x14ac:dyDescent="0.35">
      <c r="A343" s="16">
        <v>46154</v>
      </c>
      <c r="B343" s="17" t="s">
        <v>35</v>
      </c>
      <c r="C343" s="13">
        <v>3</v>
      </c>
      <c r="D343" s="11">
        <f>VLOOKUP(B343,[1]lantai9!$B:$G,6,FALSE)</f>
        <v>9000</v>
      </c>
      <c r="E343" s="11">
        <f>VLOOKUP(B343,karyawan!B:D,3,FALSE)</f>
        <v>8000</v>
      </c>
      <c r="F343" s="11" t="str">
        <f>VLOOKUP(B343,karyawan!B:E,4,FALSE)</f>
        <v>Compliance</v>
      </c>
      <c r="G343" s="12">
        <v>3</v>
      </c>
      <c r="H343" s="40">
        <f>IFERROR(Inventory!$D43,"0")</f>
        <v>0</v>
      </c>
      <c r="I343" s="13">
        <v>1</v>
      </c>
      <c r="J343" s="43">
        <v>11</v>
      </c>
      <c r="K343" s="14">
        <f t="shared" si="16"/>
        <v>0</v>
      </c>
      <c r="L343" s="13">
        <v>2</v>
      </c>
      <c r="M343" s="13">
        <f t="shared" si="17"/>
        <v>0</v>
      </c>
      <c r="N343" s="15">
        <f t="shared" si="15"/>
        <v>0</v>
      </c>
    </row>
    <row r="344" spans="1:14" ht="15" thickBot="1" x14ac:dyDescent="0.35">
      <c r="A344" s="16">
        <v>46154</v>
      </c>
      <c r="B344" s="10" t="s">
        <v>12</v>
      </c>
      <c r="C344" s="13">
        <v>8</v>
      </c>
      <c r="D344" s="11">
        <f>VLOOKUP(B344,[1]lantai9!$B:$G,6,FALSE)</f>
        <v>35000</v>
      </c>
      <c r="E344" s="11">
        <f>VLOOKUP(B344,karyawan!B:D,3,FALSE)</f>
        <v>34000</v>
      </c>
      <c r="F344" s="11" t="str">
        <f>VLOOKUP(B344,karyawan!B:E,4,FALSE)</f>
        <v>Florida</v>
      </c>
      <c r="G344" s="12">
        <v>5</v>
      </c>
      <c r="H344" s="40">
        <f>H323-K323</f>
        <v>0</v>
      </c>
      <c r="I344" s="13">
        <v>4</v>
      </c>
      <c r="J344" s="43">
        <v>4</v>
      </c>
      <c r="K344" s="14">
        <f t="shared" si="16"/>
        <v>0</v>
      </c>
      <c r="L344" s="13">
        <v>4</v>
      </c>
      <c r="M344" s="13">
        <f t="shared" si="17"/>
        <v>0</v>
      </c>
      <c r="N344" s="15">
        <f t="shared" si="15"/>
        <v>0</v>
      </c>
    </row>
    <row r="345" spans="1:14" ht="15" thickBot="1" x14ac:dyDescent="0.35">
      <c r="A345" s="16">
        <v>46154</v>
      </c>
      <c r="B345" s="10" t="s">
        <v>13</v>
      </c>
      <c r="C345" s="13">
        <v>8</v>
      </c>
      <c r="D345" s="11">
        <f>VLOOKUP(B345,[1]lantai9!$B:$G,6,FALSE)</f>
        <v>23000</v>
      </c>
      <c r="E345" s="11">
        <f>VLOOKUP(B345,karyawan!B:D,3,FALSE)</f>
        <v>22000</v>
      </c>
      <c r="F345" s="11" t="str">
        <f>VLOOKUP(B345,karyawan!B:E,4,FALSE)</f>
        <v>Yohannes</v>
      </c>
      <c r="G345" s="12">
        <v>6</v>
      </c>
      <c r="H345" s="40">
        <f t="shared" ref="H345:H385" si="18">H324-K324</f>
        <v>34</v>
      </c>
      <c r="I345" s="13">
        <v>6</v>
      </c>
      <c r="J345" s="43">
        <v>11</v>
      </c>
      <c r="K345" s="14">
        <f t="shared" si="16"/>
        <v>5</v>
      </c>
      <c r="L345" s="13">
        <v>1</v>
      </c>
      <c r="M345" s="13">
        <f t="shared" si="17"/>
        <v>5</v>
      </c>
      <c r="N345" s="15">
        <f t="shared" si="15"/>
        <v>115000</v>
      </c>
    </row>
    <row r="346" spans="1:14" ht="15" thickBot="1" x14ac:dyDescent="0.35">
      <c r="A346" s="16">
        <v>46154</v>
      </c>
      <c r="B346" s="10" t="s">
        <v>14</v>
      </c>
      <c r="C346" s="13">
        <v>8</v>
      </c>
      <c r="D346" s="11">
        <f>VLOOKUP(B346,[1]lantai9!$B:$G,6,FALSE)</f>
        <v>21000</v>
      </c>
      <c r="E346" s="11">
        <f>VLOOKUP(B346,karyawan!B:D,3,FALSE)</f>
        <v>20000</v>
      </c>
      <c r="F346" s="11" t="str">
        <f>VLOOKUP(B346,karyawan!B:E,4,FALSE)</f>
        <v>Damaz</v>
      </c>
      <c r="G346" s="12">
        <v>2</v>
      </c>
      <c r="H346" s="40">
        <f t="shared" si="18"/>
        <v>0</v>
      </c>
      <c r="I346" s="13">
        <v>1</v>
      </c>
      <c r="J346" s="43">
        <v>1</v>
      </c>
      <c r="K346" s="14">
        <f t="shared" si="16"/>
        <v>0</v>
      </c>
      <c r="L346" s="13">
        <v>1</v>
      </c>
      <c r="M346" s="13">
        <f t="shared" si="17"/>
        <v>0</v>
      </c>
      <c r="N346" s="15">
        <f t="shared" si="15"/>
        <v>0</v>
      </c>
    </row>
    <row r="347" spans="1:14" ht="15" thickBot="1" x14ac:dyDescent="0.35">
      <c r="A347" s="16">
        <v>46154</v>
      </c>
      <c r="B347" s="10" t="s">
        <v>15</v>
      </c>
      <c r="C347" s="13">
        <v>8</v>
      </c>
      <c r="D347" s="11">
        <f>VLOOKUP(B347,[1]lantai9!$B:$G,6,FALSE)</f>
        <v>36000</v>
      </c>
      <c r="E347" s="11">
        <f>VLOOKUP(B347,karyawan!B:D,3,FALSE)</f>
        <v>35000</v>
      </c>
      <c r="F347" s="11" t="str">
        <f>VLOOKUP(B347,karyawan!B:E,4,FALSE)</f>
        <v>Damaz</v>
      </c>
      <c r="G347" s="12">
        <v>3</v>
      </c>
      <c r="H347" s="40">
        <f t="shared" si="18"/>
        <v>0</v>
      </c>
      <c r="I347" s="13">
        <v>2</v>
      </c>
      <c r="J347" s="43">
        <v>2</v>
      </c>
      <c r="K347" s="14">
        <f t="shared" si="16"/>
        <v>0</v>
      </c>
      <c r="L347" s="13">
        <v>2</v>
      </c>
      <c r="M347" s="13">
        <f t="shared" si="17"/>
        <v>0</v>
      </c>
      <c r="N347" s="15">
        <f t="shared" si="15"/>
        <v>0</v>
      </c>
    </row>
    <row r="348" spans="1:14" ht="15" thickBot="1" x14ac:dyDescent="0.35">
      <c r="A348" s="16">
        <v>46154</v>
      </c>
      <c r="B348" s="10" t="s">
        <v>16</v>
      </c>
      <c r="C348" s="13">
        <v>8</v>
      </c>
      <c r="D348" s="11">
        <f>VLOOKUP(B348,[1]lantai9!$B:$G,6,FALSE)</f>
        <v>23000</v>
      </c>
      <c r="E348" s="11">
        <f>VLOOKUP(B348,karyawan!B:D,3,FALSE)</f>
        <v>22000</v>
      </c>
      <c r="F348" s="11" t="str">
        <f>VLOOKUP(B348,karyawan!B:E,4,FALSE)</f>
        <v>Vale</v>
      </c>
      <c r="G348" s="12">
        <v>5</v>
      </c>
      <c r="H348" s="40">
        <f t="shared" si="18"/>
        <v>0</v>
      </c>
      <c r="I348" s="13">
        <v>3</v>
      </c>
      <c r="J348" s="43">
        <v>3</v>
      </c>
      <c r="K348" s="14">
        <f t="shared" si="16"/>
        <v>0</v>
      </c>
      <c r="L348" s="13">
        <v>2</v>
      </c>
      <c r="M348" s="13">
        <f t="shared" si="17"/>
        <v>1</v>
      </c>
      <c r="N348" s="15">
        <f t="shared" si="15"/>
        <v>23000</v>
      </c>
    </row>
    <row r="349" spans="1:14" ht="15" thickBot="1" x14ac:dyDescent="0.35">
      <c r="A349" s="16">
        <v>46154</v>
      </c>
      <c r="B349" s="10" t="s">
        <v>17</v>
      </c>
      <c r="C349" s="13">
        <v>8</v>
      </c>
      <c r="D349" s="11">
        <f>VLOOKUP(B349,[1]lantai9!$B:$G,6,FALSE)</f>
        <v>15000</v>
      </c>
      <c r="E349" s="11">
        <f>VLOOKUP(B349,karyawan!B:D,3,FALSE)</f>
        <v>14000</v>
      </c>
      <c r="F349" s="11" t="str">
        <f>VLOOKUP(B349,karyawan!B:E,4,FALSE)</f>
        <v>Desy</v>
      </c>
      <c r="G349" s="12">
        <v>6</v>
      </c>
      <c r="H349" s="40">
        <f t="shared" si="18"/>
        <v>9</v>
      </c>
      <c r="I349" s="13">
        <v>6</v>
      </c>
      <c r="J349" s="43">
        <v>5</v>
      </c>
      <c r="K349" s="14">
        <f t="shared" si="16"/>
        <v>1</v>
      </c>
      <c r="L349" s="13">
        <v>5</v>
      </c>
      <c r="M349" s="13">
        <f t="shared" si="17"/>
        <v>1</v>
      </c>
      <c r="N349" s="15">
        <f t="shared" si="15"/>
        <v>15000</v>
      </c>
    </row>
    <row r="350" spans="1:14" ht="15" thickBot="1" x14ac:dyDescent="0.35">
      <c r="A350" s="16">
        <v>46154</v>
      </c>
      <c r="B350" s="10" t="s">
        <v>31</v>
      </c>
      <c r="C350" s="13">
        <v>8</v>
      </c>
      <c r="D350" s="11">
        <f>VLOOKUP(B350,[1]lantai9!$B:$G,6,FALSE)</f>
        <v>18000</v>
      </c>
      <c r="E350" s="11">
        <f>VLOOKUP(B350,karyawan!B:D,3,FALSE)</f>
        <v>17000</v>
      </c>
      <c r="F350" s="11" t="str">
        <f>VLOOKUP(B350,karyawan!B:E,4,FALSE)</f>
        <v>Geby</v>
      </c>
      <c r="G350" s="12">
        <v>4</v>
      </c>
      <c r="H350" s="40">
        <f t="shared" si="18"/>
        <v>0</v>
      </c>
      <c r="I350" s="13">
        <v>4</v>
      </c>
      <c r="J350" s="43">
        <v>3</v>
      </c>
      <c r="K350" s="14">
        <f t="shared" si="16"/>
        <v>0</v>
      </c>
      <c r="L350" s="13">
        <v>4</v>
      </c>
      <c r="M350" s="13">
        <f t="shared" si="17"/>
        <v>0</v>
      </c>
      <c r="N350" s="15">
        <f t="shared" si="15"/>
        <v>0</v>
      </c>
    </row>
    <row r="351" spans="1:14" ht="15" thickBot="1" x14ac:dyDescent="0.35">
      <c r="A351" s="16">
        <v>46154</v>
      </c>
      <c r="B351" s="10" t="s">
        <v>32</v>
      </c>
      <c r="C351" s="13">
        <v>8</v>
      </c>
      <c r="D351" s="11">
        <f>VLOOKUP(B351,[1]lantai9!$B:$G,6,FALSE)</f>
        <v>21000</v>
      </c>
      <c r="E351" s="11">
        <f>VLOOKUP(B351,karyawan!B:D,3,FALSE)</f>
        <v>20000</v>
      </c>
      <c r="F351" s="11" t="str">
        <f>VLOOKUP(B351,karyawan!B:E,4,FALSE)</f>
        <v>Geby</v>
      </c>
      <c r="G351" s="12">
        <v>3</v>
      </c>
      <c r="H351" s="40">
        <f t="shared" si="18"/>
        <v>0</v>
      </c>
      <c r="I351" s="13">
        <v>4</v>
      </c>
      <c r="J351" s="43">
        <v>0</v>
      </c>
      <c r="K351" s="14">
        <f t="shared" si="16"/>
        <v>0</v>
      </c>
      <c r="L351" s="13">
        <v>1</v>
      </c>
      <c r="M351" s="13">
        <f t="shared" si="17"/>
        <v>3</v>
      </c>
      <c r="N351" s="15">
        <f t="shared" si="15"/>
        <v>63000</v>
      </c>
    </row>
    <row r="352" spans="1:14" ht="15" thickBot="1" x14ac:dyDescent="0.35">
      <c r="A352" s="16">
        <v>46154</v>
      </c>
      <c r="B352" s="10" t="s">
        <v>33</v>
      </c>
      <c r="C352" s="13">
        <v>8</v>
      </c>
      <c r="D352" s="11">
        <f>VLOOKUP(B352,[1]lantai9!$B:$G,6,FALSE)</f>
        <v>35000</v>
      </c>
      <c r="E352" s="11">
        <f>VLOOKUP(B352,karyawan!B:D,3,FALSE)</f>
        <v>34000</v>
      </c>
      <c r="F352" s="11" t="str">
        <f>VLOOKUP(B352,karyawan!B:E,4,FALSE)</f>
        <v>Sherly</v>
      </c>
      <c r="G352" s="12">
        <v>2</v>
      </c>
      <c r="H352" s="40">
        <f t="shared" si="18"/>
        <v>14</v>
      </c>
      <c r="I352" s="13">
        <v>2</v>
      </c>
      <c r="J352" s="43">
        <v>2</v>
      </c>
      <c r="K352" s="14">
        <f t="shared" si="16"/>
        <v>0</v>
      </c>
      <c r="L352" s="13">
        <v>2</v>
      </c>
      <c r="M352" s="13">
        <f t="shared" si="17"/>
        <v>0</v>
      </c>
      <c r="N352" s="15">
        <f t="shared" si="15"/>
        <v>0</v>
      </c>
    </row>
    <row r="353" spans="1:14" ht="15" thickBot="1" x14ac:dyDescent="0.35">
      <c r="A353" s="16">
        <v>46154</v>
      </c>
      <c r="B353" s="10" t="s">
        <v>21</v>
      </c>
      <c r="C353" s="13">
        <v>8</v>
      </c>
      <c r="D353" s="11">
        <f>VLOOKUP(B353,[1]lantai9!$B:$G,6,FALSE)</f>
        <v>40000</v>
      </c>
      <c r="E353" s="11">
        <f>VLOOKUP(B353,karyawan!B:D,3,FALSE)</f>
        <v>39000</v>
      </c>
      <c r="F353" s="11" t="str">
        <f>VLOOKUP(B353,karyawan!B:E,4,FALSE)</f>
        <v>Sherly</v>
      </c>
      <c r="G353" s="12">
        <v>4</v>
      </c>
      <c r="H353" s="40">
        <f t="shared" si="18"/>
        <v>19</v>
      </c>
      <c r="I353" s="13">
        <v>4</v>
      </c>
      <c r="J353" s="43">
        <v>2</v>
      </c>
      <c r="K353" s="14">
        <f t="shared" si="16"/>
        <v>2</v>
      </c>
      <c r="L353" s="13">
        <v>2</v>
      </c>
      <c r="M353" s="13">
        <f t="shared" si="17"/>
        <v>2</v>
      </c>
      <c r="N353" s="15">
        <f t="shared" si="15"/>
        <v>80000</v>
      </c>
    </row>
    <row r="354" spans="1:14" ht="15" thickBot="1" x14ac:dyDescent="0.35">
      <c r="A354" s="16">
        <v>46154</v>
      </c>
      <c r="B354" s="10" t="s">
        <v>22</v>
      </c>
      <c r="C354" s="13">
        <v>8</v>
      </c>
      <c r="D354" s="11">
        <f>VLOOKUP(B354,[1]lantai9!$B:$G,6,FALSE)</f>
        <v>2500</v>
      </c>
      <c r="E354" s="11">
        <f>VLOOKUP(B354,karyawan!B:D,3,FALSE)</f>
        <v>1480</v>
      </c>
      <c r="F354" s="11" t="str">
        <f>VLOOKUP(B354,karyawan!B:E,4,FALSE)</f>
        <v>Compliance</v>
      </c>
      <c r="G354" s="12">
        <v>12</v>
      </c>
      <c r="H354" s="40">
        <f t="shared" si="18"/>
        <v>0</v>
      </c>
      <c r="I354" s="13">
        <v>2</v>
      </c>
      <c r="J354" s="43">
        <v>1</v>
      </c>
      <c r="K354" s="14">
        <f t="shared" si="16"/>
        <v>0</v>
      </c>
      <c r="L354" s="13">
        <v>1</v>
      </c>
      <c r="M354" s="13">
        <f t="shared" si="17"/>
        <v>1</v>
      </c>
      <c r="N354" s="15">
        <f t="shared" si="15"/>
        <v>2500</v>
      </c>
    </row>
    <row r="355" spans="1:14" ht="15" thickBot="1" x14ac:dyDescent="0.35">
      <c r="A355" s="16">
        <v>46154</v>
      </c>
      <c r="B355" s="10" t="s">
        <v>23</v>
      </c>
      <c r="C355" s="13">
        <v>8</v>
      </c>
      <c r="D355" s="11">
        <f>VLOOKUP(B355,[1]lantai9!$B:$G,6,FALSE)</f>
        <v>2000</v>
      </c>
      <c r="E355" s="11">
        <f>VLOOKUP(B355,karyawan!B:D,3,FALSE)</f>
        <v>1074</v>
      </c>
      <c r="F355" s="11" t="str">
        <f>VLOOKUP(B355,karyawan!B:E,4,FALSE)</f>
        <v>Compliance</v>
      </c>
      <c r="G355" s="12">
        <v>10</v>
      </c>
      <c r="H355" s="40">
        <f t="shared" si="18"/>
        <v>67</v>
      </c>
      <c r="I355" s="13">
        <v>10</v>
      </c>
      <c r="J355" s="43">
        <v>9</v>
      </c>
      <c r="K355" s="14">
        <f t="shared" ref="K355:K386" si="19">IF(H355&gt;MAX(G355-L355,0),MAX(G355-L355,0),H355)</f>
        <v>1</v>
      </c>
      <c r="L355" s="13">
        <v>9</v>
      </c>
      <c r="M355" s="13">
        <f t="shared" si="17"/>
        <v>1</v>
      </c>
      <c r="N355" s="15">
        <f t="shared" si="15"/>
        <v>2000</v>
      </c>
    </row>
    <row r="356" spans="1:14" ht="15" thickBot="1" x14ac:dyDescent="0.35">
      <c r="A356" s="16">
        <v>46154</v>
      </c>
      <c r="B356" s="10" t="s">
        <v>24</v>
      </c>
      <c r="C356" s="13">
        <v>8</v>
      </c>
      <c r="D356" s="11">
        <f>VLOOKUP(B356,[1]lantai9!$B:$G,6,FALSE)</f>
        <v>2500</v>
      </c>
      <c r="E356" s="11">
        <f>VLOOKUP(B356,karyawan!B:D,3,FALSE)</f>
        <v>1465</v>
      </c>
      <c r="F356" s="11" t="str">
        <f>VLOOKUP(B356,karyawan!B:E,4,FALSE)</f>
        <v>Compliance</v>
      </c>
      <c r="G356" s="12">
        <v>10</v>
      </c>
      <c r="H356" s="40">
        <f t="shared" si="18"/>
        <v>61</v>
      </c>
      <c r="I356" s="13">
        <v>10</v>
      </c>
      <c r="J356" s="43">
        <v>11</v>
      </c>
      <c r="K356" s="14">
        <f t="shared" si="19"/>
        <v>2</v>
      </c>
      <c r="L356" s="13">
        <v>8</v>
      </c>
      <c r="M356" s="13">
        <f t="shared" si="17"/>
        <v>2</v>
      </c>
      <c r="N356" s="15">
        <f t="shared" si="15"/>
        <v>5000</v>
      </c>
    </row>
    <row r="357" spans="1:14" ht="15" thickBot="1" x14ac:dyDescent="0.35">
      <c r="A357" s="16">
        <v>46154</v>
      </c>
      <c r="B357" s="10" t="s">
        <v>25</v>
      </c>
      <c r="C357" s="13">
        <v>8</v>
      </c>
      <c r="D357" s="11">
        <f>VLOOKUP(B357,[1]lantai9!$B:$G,6,FALSE)</f>
        <v>10000</v>
      </c>
      <c r="E357" s="11">
        <f>VLOOKUP(B357,karyawan!B:D,3,FALSE)</f>
        <v>9200</v>
      </c>
      <c r="F357" s="11" t="str">
        <f>VLOOKUP(B357,karyawan!B:E,4,FALSE)</f>
        <v>Compliance</v>
      </c>
      <c r="G357" s="12">
        <v>15</v>
      </c>
      <c r="H357" s="40">
        <f t="shared" si="18"/>
        <v>0</v>
      </c>
      <c r="I357" s="13">
        <v>15</v>
      </c>
      <c r="J357" s="43">
        <v>11</v>
      </c>
      <c r="K357" s="14">
        <f t="shared" si="19"/>
        <v>0</v>
      </c>
      <c r="L357" s="13">
        <v>11</v>
      </c>
      <c r="M357" s="13">
        <f t="shared" si="17"/>
        <v>4</v>
      </c>
      <c r="N357" s="15">
        <f t="shared" si="15"/>
        <v>40000</v>
      </c>
    </row>
    <row r="358" spans="1:14" ht="15" thickBot="1" x14ac:dyDescent="0.35">
      <c r="A358" s="16">
        <v>46154</v>
      </c>
      <c r="B358" s="10" t="s">
        <v>26</v>
      </c>
      <c r="C358" s="13">
        <v>8</v>
      </c>
      <c r="D358" s="11">
        <f>VLOOKUP(B358,[1]lantai9!$B:$G,6,FALSE)</f>
        <v>15000</v>
      </c>
      <c r="E358" s="11">
        <f>VLOOKUP(B358,karyawan!B:D,3,FALSE)</f>
        <v>13807</v>
      </c>
      <c r="F358" s="11" t="str">
        <f>VLOOKUP(B358,karyawan!B:E,4,FALSE)</f>
        <v>Compliance</v>
      </c>
      <c r="G358" s="12">
        <v>10</v>
      </c>
      <c r="H358" s="40">
        <f t="shared" si="18"/>
        <v>7</v>
      </c>
      <c r="I358" s="13">
        <v>10</v>
      </c>
      <c r="J358" s="43">
        <v>8</v>
      </c>
      <c r="K358" s="14">
        <f t="shared" si="19"/>
        <v>3</v>
      </c>
      <c r="L358" s="13">
        <v>7</v>
      </c>
      <c r="M358" s="13">
        <f t="shared" si="17"/>
        <v>3</v>
      </c>
      <c r="N358" s="15">
        <f t="shared" si="15"/>
        <v>45000</v>
      </c>
    </row>
    <row r="359" spans="1:14" ht="15" thickBot="1" x14ac:dyDescent="0.35">
      <c r="A359" s="16">
        <v>46154</v>
      </c>
      <c r="B359" s="10" t="s">
        <v>27</v>
      </c>
      <c r="C359" s="13">
        <v>8</v>
      </c>
      <c r="D359" s="11">
        <f>VLOOKUP(B359,[1]lantai9!$B:$G,6,FALSE)</f>
        <v>23000</v>
      </c>
      <c r="E359" s="11">
        <f>VLOOKUP(B359,karyawan!B:D,3,FALSE)</f>
        <v>21760</v>
      </c>
      <c r="F359" s="11" t="str">
        <f>VLOOKUP(B359,karyawan!B:E,4,FALSE)</f>
        <v>Compliance</v>
      </c>
      <c r="G359" s="12">
        <v>7</v>
      </c>
      <c r="H359" s="40">
        <f t="shared" si="18"/>
        <v>0</v>
      </c>
      <c r="I359" s="13">
        <v>6</v>
      </c>
      <c r="J359" s="43">
        <v>6</v>
      </c>
      <c r="K359" s="14">
        <f t="shared" si="19"/>
        <v>0</v>
      </c>
      <c r="L359" s="13">
        <v>6</v>
      </c>
      <c r="M359" s="13">
        <f t="shared" si="17"/>
        <v>0</v>
      </c>
      <c r="N359" s="15">
        <f t="shared" si="15"/>
        <v>0</v>
      </c>
    </row>
    <row r="360" spans="1:14" ht="15" thickBot="1" x14ac:dyDescent="0.35">
      <c r="A360" s="16">
        <v>46154</v>
      </c>
      <c r="B360" s="17" t="s">
        <v>28</v>
      </c>
      <c r="C360" s="13">
        <v>8</v>
      </c>
      <c r="D360" s="11">
        <f>VLOOKUP(B360,[1]lantai9!$B:$G,6,FALSE)</f>
        <v>11000</v>
      </c>
      <c r="E360" s="11">
        <f>VLOOKUP(B360,karyawan!B:D,3,FALSE)</f>
        <v>10000</v>
      </c>
      <c r="F360" s="11" t="str">
        <f>VLOOKUP(B360,karyawan!B:E,4,FALSE)</f>
        <v>Compliance</v>
      </c>
      <c r="G360" s="12">
        <v>8</v>
      </c>
      <c r="H360" s="40">
        <f t="shared" si="18"/>
        <v>9</v>
      </c>
      <c r="I360" s="13">
        <v>8</v>
      </c>
      <c r="J360" s="43">
        <v>5</v>
      </c>
      <c r="K360" s="14">
        <f t="shared" si="19"/>
        <v>3</v>
      </c>
      <c r="L360" s="13">
        <v>5</v>
      </c>
      <c r="M360" s="13">
        <f t="shared" si="17"/>
        <v>3</v>
      </c>
      <c r="N360" s="15">
        <f t="shared" si="15"/>
        <v>33000</v>
      </c>
    </row>
    <row r="361" spans="1:14" ht="15" thickBot="1" x14ac:dyDescent="0.35">
      <c r="A361" s="16">
        <v>46154</v>
      </c>
      <c r="B361" s="17" t="s">
        <v>29</v>
      </c>
      <c r="C361" s="13">
        <v>8</v>
      </c>
      <c r="D361" s="11">
        <f>VLOOKUP(B361,[1]lantai9!$B:$G,6,FALSE)</f>
        <v>14500</v>
      </c>
      <c r="E361" s="11">
        <f>VLOOKUP(B361,karyawan!B:D,3,FALSE)</f>
        <v>13500</v>
      </c>
      <c r="F361" s="11" t="str">
        <f>VLOOKUP(B361,karyawan!B:E,4,FALSE)</f>
        <v>Compliance</v>
      </c>
      <c r="G361" s="12">
        <v>6</v>
      </c>
      <c r="H361" s="40">
        <f t="shared" si="18"/>
        <v>0</v>
      </c>
      <c r="I361" s="13">
        <v>6</v>
      </c>
      <c r="J361" s="43">
        <v>4</v>
      </c>
      <c r="K361" s="14">
        <f t="shared" si="19"/>
        <v>0</v>
      </c>
      <c r="L361" s="13">
        <v>4</v>
      </c>
      <c r="M361" s="13">
        <f t="shared" si="17"/>
        <v>2</v>
      </c>
      <c r="N361" s="15">
        <f t="shared" si="15"/>
        <v>29000</v>
      </c>
    </row>
    <row r="362" spans="1:14" ht="15" thickBot="1" x14ac:dyDescent="0.35">
      <c r="A362" s="16">
        <v>46154</v>
      </c>
      <c r="B362" s="17" t="s">
        <v>30</v>
      </c>
      <c r="C362" s="13">
        <v>8</v>
      </c>
      <c r="D362" s="11">
        <f>VLOOKUP(B362,[1]lantai9!$B:$G,6,FALSE)</f>
        <v>3500</v>
      </c>
      <c r="E362" s="11">
        <f>VLOOKUP(B362,karyawan!B:D,3,FALSE)</f>
        <v>2500</v>
      </c>
      <c r="F362" s="11" t="str">
        <f>VLOOKUP(B362,karyawan!B:E,4,FALSE)</f>
        <v>Compliance</v>
      </c>
      <c r="G362" s="12">
        <v>20</v>
      </c>
      <c r="H362" s="40">
        <f t="shared" si="18"/>
        <v>0</v>
      </c>
      <c r="I362" s="13">
        <v>18</v>
      </c>
      <c r="J362" s="43">
        <v>16</v>
      </c>
      <c r="K362" s="14">
        <f t="shared" si="19"/>
        <v>0</v>
      </c>
      <c r="L362" s="13">
        <v>16</v>
      </c>
      <c r="M362" s="13">
        <f t="shared" si="17"/>
        <v>2</v>
      </c>
      <c r="N362" s="15">
        <f t="shared" si="15"/>
        <v>7000</v>
      </c>
    </row>
    <row r="363" spans="1:14" ht="15" thickBot="1" x14ac:dyDescent="0.35">
      <c r="A363" s="16">
        <v>46154</v>
      </c>
      <c r="B363" s="17" t="s">
        <v>34</v>
      </c>
      <c r="C363" s="13">
        <v>8</v>
      </c>
      <c r="D363" s="11">
        <f>VLOOKUP(B363,[1]lantai9!$B:$G,6,FALSE)</f>
        <v>5500</v>
      </c>
      <c r="E363" s="11">
        <f>VLOOKUP(B363,karyawan!B:D,3,FALSE)</f>
        <v>4500</v>
      </c>
      <c r="F363" s="11" t="str">
        <f>VLOOKUP(B363,karyawan!B:E,4,FALSE)</f>
        <v>Compliance</v>
      </c>
      <c r="G363" s="12">
        <v>8</v>
      </c>
      <c r="H363" s="40">
        <f t="shared" si="18"/>
        <v>15</v>
      </c>
      <c r="I363" s="13">
        <v>8</v>
      </c>
      <c r="J363" s="43">
        <v>11</v>
      </c>
      <c r="K363" s="14">
        <f t="shared" si="19"/>
        <v>1</v>
      </c>
      <c r="L363" s="13">
        <v>7</v>
      </c>
      <c r="M363" s="13">
        <f t="shared" si="17"/>
        <v>1</v>
      </c>
      <c r="N363" s="15">
        <f t="shared" si="15"/>
        <v>5500</v>
      </c>
    </row>
    <row r="364" spans="1:14" ht="15" thickBot="1" x14ac:dyDescent="0.35">
      <c r="A364" s="16">
        <v>46154</v>
      </c>
      <c r="B364" s="17" t="s">
        <v>35</v>
      </c>
      <c r="C364" s="13">
        <v>8</v>
      </c>
      <c r="D364" s="11">
        <f>VLOOKUP(B364,[1]lantai9!$B:$G,6,FALSE)</f>
        <v>9000</v>
      </c>
      <c r="E364" s="11">
        <f>VLOOKUP(B364,karyawan!B:D,3,FALSE)</f>
        <v>8000</v>
      </c>
      <c r="F364" s="11" t="str">
        <f>VLOOKUP(B364,karyawan!B:E,4,FALSE)</f>
        <v>Compliance</v>
      </c>
      <c r="G364" s="12">
        <v>3</v>
      </c>
      <c r="H364" s="40">
        <f t="shared" si="18"/>
        <v>0</v>
      </c>
      <c r="I364" s="13">
        <v>3</v>
      </c>
      <c r="J364" s="43">
        <v>4</v>
      </c>
      <c r="K364" s="14">
        <f t="shared" si="19"/>
        <v>0</v>
      </c>
      <c r="L364" s="13">
        <v>1</v>
      </c>
      <c r="M364" s="13">
        <f t="shared" si="17"/>
        <v>2</v>
      </c>
      <c r="N364" s="15">
        <f t="shared" si="15"/>
        <v>18000</v>
      </c>
    </row>
    <row r="365" spans="1:14" ht="15" thickBot="1" x14ac:dyDescent="0.35">
      <c r="A365" s="16">
        <v>46154</v>
      </c>
      <c r="B365" s="10" t="s">
        <v>12</v>
      </c>
      <c r="C365" s="13">
        <v>9</v>
      </c>
      <c r="D365" s="11">
        <f>VLOOKUP(B365,[1]lantai9!$B:$G,6,FALSE)</f>
        <v>35000</v>
      </c>
      <c r="E365" s="11">
        <f>VLOOKUP(B365,karyawan!B:D,3,FALSE)</f>
        <v>34000</v>
      </c>
      <c r="F365" s="11" t="str">
        <f>VLOOKUP(B365,karyawan!B:E,4,FALSE)</f>
        <v>Florida</v>
      </c>
      <c r="G365" s="12">
        <v>5</v>
      </c>
      <c r="H365" s="40">
        <f t="shared" si="18"/>
        <v>0</v>
      </c>
      <c r="I365" s="13">
        <v>4</v>
      </c>
      <c r="J365" s="43">
        <v>3</v>
      </c>
      <c r="K365" s="14">
        <f t="shared" si="19"/>
        <v>0</v>
      </c>
      <c r="L365" s="13">
        <v>3</v>
      </c>
      <c r="M365" s="13">
        <f t="shared" si="17"/>
        <v>1</v>
      </c>
      <c r="N365" s="15">
        <f t="shared" si="15"/>
        <v>35000</v>
      </c>
    </row>
    <row r="366" spans="1:14" ht="15" thickBot="1" x14ac:dyDescent="0.35">
      <c r="A366" s="16">
        <v>46154</v>
      </c>
      <c r="B366" s="10" t="s">
        <v>13</v>
      </c>
      <c r="C366" s="13">
        <v>9</v>
      </c>
      <c r="D366" s="11">
        <f>VLOOKUP(B366,[1]lantai9!$B:$G,6,FALSE)</f>
        <v>23000</v>
      </c>
      <c r="E366" s="11">
        <f>VLOOKUP(B366,karyawan!B:D,3,FALSE)</f>
        <v>22000</v>
      </c>
      <c r="F366" s="11" t="str">
        <f>VLOOKUP(B366,karyawan!B:E,4,FALSE)</f>
        <v>Yohannes</v>
      </c>
      <c r="G366" s="12">
        <v>6</v>
      </c>
      <c r="H366" s="40">
        <f t="shared" si="18"/>
        <v>29</v>
      </c>
      <c r="I366" s="13">
        <v>7</v>
      </c>
      <c r="J366" s="43">
        <v>2</v>
      </c>
      <c r="K366" s="14">
        <f t="shared" si="19"/>
        <v>4</v>
      </c>
      <c r="L366" s="13">
        <v>2</v>
      </c>
      <c r="M366" s="13">
        <f t="shared" si="17"/>
        <v>5</v>
      </c>
      <c r="N366" s="15">
        <f t="shared" si="15"/>
        <v>115000</v>
      </c>
    </row>
    <row r="367" spans="1:14" ht="15" thickBot="1" x14ac:dyDescent="0.35">
      <c r="A367" s="16">
        <v>46154</v>
      </c>
      <c r="B367" s="10" t="s">
        <v>14</v>
      </c>
      <c r="C367" s="13">
        <v>9</v>
      </c>
      <c r="D367" s="11">
        <f>VLOOKUP(B367,[1]lantai9!$B:$G,6,FALSE)</f>
        <v>21000</v>
      </c>
      <c r="E367" s="11">
        <f>VLOOKUP(B367,karyawan!B:D,3,FALSE)</f>
        <v>20000</v>
      </c>
      <c r="F367" s="11" t="str">
        <f>VLOOKUP(B367,karyawan!B:E,4,FALSE)</f>
        <v>Damaz</v>
      </c>
      <c r="G367" s="12">
        <v>2</v>
      </c>
      <c r="H367" s="40">
        <f t="shared" si="18"/>
        <v>0</v>
      </c>
      <c r="I367" s="13">
        <v>0</v>
      </c>
      <c r="J367" s="43">
        <v>0</v>
      </c>
      <c r="K367" s="14">
        <f t="shared" si="19"/>
        <v>0</v>
      </c>
      <c r="L367" s="13">
        <v>0</v>
      </c>
      <c r="M367" s="13">
        <f t="shared" si="17"/>
        <v>0</v>
      </c>
      <c r="N367" s="15">
        <f t="shared" si="15"/>
        <v>0</v>
      </c>
    </row>
    <row r="368" spans="1:14" ht="15" thickBot="1" x14ac:dyDescent="0.35">
      <c r="A368" s="16">
        <v>46154</v>
      </c>
      <c r="B368" s="10" t="s">
        <v>15</v>
      </c>
      <c r="C368" s="13">
        <v>9</v>
      </c>
      <c r="D368" s="11">
        <f>VLOOKUP(B368,[1]lantai9!$B:$G,6,FALSE)</f>
        <v>36000</v>
      </c>
      <c r="E368" s="11">
        <f>VLOOKUP(B368,karyawan!B:D,3,FALSE)</f>
        <v>35000</v>
      </c>
      <c r="F368" s="11" t="str">
        <f>VLOOKUP(B368,karyawan!B:E,4,FALSE)</f>
        <v>Damaz</v>
      </c>
      <c r="G368" s="12">
        <v>3</v>
      </c>
      <c r="H368" s="40">
        <f t="shared" si="18"/>
        <v>0</v>
      </c>
      <c r="I368" s="13">
        <v>0</v>
      </c>
      <c r="J368" s="43">
        <v>0</v>
      </c>
      <c r="K368" s="14">
        <f t="shared" si="19"/>
        <v>0</v>
      </c>
      <c r="L368" s="13">
        <v>0</v>
      </c>
      <c r="M368" s="13">
        <f t="shared" si="17"/>
        <v>0</v>
      </c>
      <c r="N368" s="15">
        <f t="shared" si="15"/>
        <v>0</v>
      </c>
    </row>
    <row r="369" spans="1:14" ht="15" thickBot="1" x14ac:dyDescent="0.35">
      <c r="A369" s="16">
        <v>46154</v>
      </c>
      <c r="B369" s="10" t="s">
        <v>16</v>
      </c>
      <c r="C369" s="13">
        <v>9</v>
      </c>
      <c r="D369" s="11">
        <f>VLOOKUP(B369,[1]lantai9!$B:$G,6,FALSE)</f>
        <v>23000</v>
      </c>
      <c r="E369" s="11">
        <f>VLOOKUP(B369,karyawan!B:D,3,FALSE)</f>
        <v>22000</v>
      </c>
      <c r="F369" s="11" t="str">
        <f>VLOOKUP(B369,karyawan!B:E,4,FALSE)</f>
        <v>Vale</v>
      </c>
      <c r="G369" s="12">
        <v>5</v>
      </c>
      <c r="H369" s="40">
        <f t="shared" si="18"/>
        <v>0</v>
      </c>
      <c r="I369" s="13">
        <v>9</v>
      </c>
      <c r="J369" s="43">
        <v>2</v>
      </c>
      <c r="K369" s="14">
        <f t="shared" si="19"/>
        <v>0</v>
      </c>
      <c r="L369" s="13">
        <v>2</v>
      </c>
      <c r="M369" s="13">
        <f t="shared" si="17"/>
        <v>7</v>
      </c>
      <c r="N369" s="15">
        <f t="shared" si="15"/>
        <v>161000</v>
      </c>
    </row>
    <row r="370" spans="1:14" ht="15" thickBot="1" x14ac:dyDescent="0.35">
      <c r="A370" s="16">
        <v>46154</v>
      </c>
      <c r="B370" s="10" t="s">
        <v>17</v>
      </c>
      <c r="C370" s="13">
        <v>9</v>
      </c>
      <c r="D370" s="11">
        <f>VLOOKUP(B370,[1]lantai9!$B:$G,6,FALSE)</f>
        <v>15000</v>
      </c>
      <c r="E370" s="11">
        <f>VLOOKUP(B370,karyawan!B:D,3,FALSE)</f>
        <v>14000</v>
      </c>
      <c r="F370" s="11" t="str">
        <f>VLOOKUP(B370,karyawan!B:E,4,FALSE)</f>
        <v>Desy</v>
      </c>
      <c r="G370" s="12">
        <v>6</v>
      </c>
      <c r="H370" s="40">
        <f t="shared" si="18"/>
        <v>8</v>
      </c>
      <c r="I370" s="13">
        <v>0</v>
      </c>
      <c r="J370" s="43">
        <v>0</v>
      </c>
      <c r="K370" s="14">
        <f t="shared" si="19"/>
        <v>6</v>
      </c>
      <c r="L370" s="13">
        <v>0</v>
      </c>
      <c r="M370" s="13">
        <f t="shared" si="17"/>
        <v>0</v>
      </c>
      <c r="N370" s="15">
        <f t="shared" si="15"/>
        <v>0</v>
      </c>
    </row>
    <row r="371" spans="1:14" ht="15" thickBot="1" x14ac:dyDescent="0.35">
      <c r="A371" s="16">
        <v>46154</v>
      </c>
      <c r="B371" s="10" t="s">
        <v>31</v>
      </c>
      <c r="C371" s="13">
        <v>9</v>
      </c>
      <c r="D371" s="11">
        <f>VLOOKUP(B371,[1]lantai9!$B:$G,6,FALSE)</f>
        <v>18000</v>
      </c>
      <c r="E371" s="11">
        <f>VLOOKUP(B371,karyawan!B:D,3,FALSE)</f>
        <v>17000</v>
      </c>
      <c r="F371" s="11" t="str">
        <f>VLOOKUP(B371,karyawan!B:E,4,FALSE)</f>
        <v>Geby</v>
      </c>
      <c r="G371" s="12">
        <v>4</v>
      </c>
      <c r="H371" s="40">
        <f t="shared" si="18"/>
        <v>0</v>
      </c>
      <c r="I371" s="13">
        <v>0</v>
      </c>
      <c r="J371" s="43">
        <v>-1</v>
      </c>
      <c r="K371" s="14">
        <f t="shared" si="19"/>
        <v>0</v>
      </c>
      <c r="L371" s="13">
        <v>0</v>
      </c>
      <c r="M371" s="13">
        <f t="shared" si="17"/>
        <v>0</v>
      </c>
      <c r="N371" s="15">
        <f t="shared" si="15"/>
        <v>0</v>
      </c>
    </row>
    <row r="372" spans="1:14" ht="15" thickBot="1" x14ac:dyDescent="0.35">
      <c r="A372" s="16">
        <v>46154</v>
      </c>
      <c r="B372" s="10" t="s">
        <v>32</v>
      </c>
      <c r="C372" s="13">
        <v>9</v>
      </c>
      <c r="D372" s="11">
        <f>VLOOKUP(B372,[1]lantai9!$B:$G,6,FALSE)</f>
        <v>21000</v>
      </c>
      <c r="E372" s="11">
        <f>VLOOKUP(B372,karyawan!B:D,3,FALSE)</f>
        <v>20000</v>
      </c>
      <c r="F372" s="11" t="str">
        <f>VLOOKUP(B372,karyawan!B:E,4,FALSE)</f>
        <v>Geby</v>
      </c>
      <c r="G372" s="12">
        <v>3</v>
      </c>
      <c r="H372" s="40">
        <f t="shared" si="18"/>
        <v>0</v>
      </c>
      <c r="I372" s="13">
        <v>3</v>
      </c>
      <c r="J372" s="43">
        <v>1</v>
      </c>
      <c r="K372" s="14">
        <f t="shared" si="19"/>
        <v>0</v>
      </c>
      <c r="L372" s="13">
        <v>2</v>
      </c>
      <c r="M372" s="13">
        <f t="shared" si="17"/>
        <v>1</v>
      </c>
      <c r="N372" s="15">
        <f t="shared" si="15"/>
        <v>21000</v>
      </c>
    </row>
    <row r="373" spans="1:14" ht="15" thickBot="1" x14ac:dyDescent="0.35">
      <c r="A373" s="16">
        <v>46154</v>
      </c>
      <c r="B373" s="10" t="s">
        <v>33</v>
      </c>
      <c r="C373" s="13">
        <v>9</v>
      </c>
      <c r="D373" s="11">
        <f>VLOOKUP(B373,[1]lantai9!$B:$G,6,FALSE)</f>
        <v>35000</v>
      </c>
      <c r="E373" s="11">
        <f>VLOOKUP(B373,karyawan!B:D,3,FALSE)</f>
        <v>34000</v>
      </c>
      <c r="F373" s="11" t="str">
        <f>VLOOKUP(B373,karyawan!B:E,4,FALSE)</f>
        <v>Sherly</v>
      </c>
      <c r="G373" s="12">
        <v>2</v>
      </c>
      <c r="H373" s="40">
        <f t="shared" si="18"/>
        <v>14</v>
      </c>
      <c r="I373" s="13">
        <v>2</v>
      </c>
      <c r="J373" s="43">
        <v>0</v>
      </c>
      <c r="K373" s="14">
        <f t="shared" si="19"/>
        <v>0</v>
      </c>
      <c r="L373" s="13">
        <v>2</v>
      </c>
      <c r="M373" s="13">
        <f t="shared" si="17"/>
        <v>0</v>
      </c>
      <c r="N373" s="15">
        <f t="shared" si="15"/>
        <v>0</v>
      </c>
    </row>
    <row r="374" spans="1:14" ht="15" thickBot="1" x14ac:dyDescent="0.35">
      <c r="A374" s="16">
        <v>46154</v>
      </c>
      <c r="B374" s="10" t="s">
        <v>21</v>
      </c>
      <c r="C374" s="13">
        <v>9</v>
      </c>
      <c r="D374" s="11">
        <f>VLOOKUP(B374,[1]lantai9!$B:$G,6,FALSE)</f>
        <v>40000</v>
      </c>
      <c r="E374" s="11">
        <f>VLOOKUP(B374,karyawan!B:D,3,FALSE)</f>
        <v>39000</v>
      </c>
      <c r="F374" s="11" t="str">
        <f>VLOOKUP(B374,karyawan!B:E,4,FALSE)</f>
        <v>Sherly</v>
      </c>
      <c r="G374" s="12">
        <v>4</v>
      </c>
      <c r="H374" s="40">
        <f t="shared" si="18"/>
        <v>17</v>
      </c>
      <c r="I374" s="13">
        <v>4</v>
      </c>
      <c r="J374" s="43">
        <v>5</v>
      </c>
      <c r="K374" s="14">
        <f t="shared" si="19"/>
        <v>0</v>
      </c>
      <c r="L374" s="13">
        <v>4</v>
      </c>
      <c r="M374" s="13">
        <f t="shared" si="17"/>
        <v>0</v>
      </c>
      <c r="N374" s="15">
        <f t="shared" si="15"/>
        <v>0</v>
      </c>
    </row>
    <row r="375" spans="1:14" ht="15" thickBot="1" x14ac:dyDescent="0.35">
      <c r="A375" s="16">
        <v>46154</v>
      </c>
      <c r="B375" s="10" t="s">
        <v>22</v>
      </c>
      <c r="C375" s="13">
        <v>9</v>
      </c>
      <c r="D375" s="11">
        <f>VLOOKUP(B375,[1]lantai9!$B:$G,6,FALSE)</f>
        <v>2500</v>
      </c>
      <c r="E375" s="11">
        <f>VLOOKUP(B375,karyawan!B:D,3,FALSE)</f>
        <v>1480</v>
      </c>
      <c r="F375" s="11" t="str">
        <f>VLOOKUP(B375,karyawan!B:E,4,FALSE)</f>
        <v>Compliance</v>
      </c>
      <c r="G375" s="12">
        <v>12</v>
      </c>
      <c r="H375" s="40">
        <f t="shared" si="18"/>
        <v>0</v>
      </c>
      <c r="I375" s="13">
        <v>3</v>
      </c>
      <c r="J375" s="43">
        <v>1</v>
      </c>
      <c r="K375" s="14">
        <f t="shared" si="19"/>
        <v>0</v>
      </c>
      <c r="L375" s="13">
        <v>1</v>
      </c>
      <c r="M375" s="13">
        <f t="shared" si="17"/>
        <v>2</v>
      </c>
      <c r="N375" s="15">
        <f t="shared" si="15"/>
        <v>5000</v>
      </c>
    </row>
    <row r="376" spans="1:14" ht="15" thickBot="1" x14ac:dyDescent="0.35">
      <c r="A376" s="16">
        <v>46154</v>
      </c>
      <c r="B376" s="10" t="s">
        <v>23</v>
      </c>
      <c r="C376" s="13">
        <v>9</v>
      </c>
      <c r="D376" s="11">
        <f>VLOOKUP(B376,[1]lantai9!$B:$G,6,FALSE)</f>
        <v>2000</v>
      </c>
      <c r="E376" s="11">
        <f>VLOOKUP(B376,karyawan!B:D,3,FALSE)</f>
        <v>1074</v>
      </c>
      <c r="F376" s="11" t="str">
        <f>VLOOKUP(B376,karyawan!B:E,4,FALSE)</f>
        <v>Compliance</v>
      </c>
      <c r="G376" s="12">
        <v>10</v>
      </c>
      <c r="H376" s="40">
        <f t="shared" si="18"/>
        <v>66</v>
      </c>
      <c r="I376" s="13">
        <v>10</v>
      </c>
      <c r="J376" s="43">
        <v>16</v>
      </c>
      <c r="K376" s="14">
        <f t="shared" si="19"/>
        <v>7</v>
      </c>
      <c r="L376" s="13">
        <v>3</v>
      </c>
      <c r="M376" s="13">
        <f t="shared" si="17"/>
        <v>7</v>
      </c>
      <c r="N376" s="15">
        <f t="shared" si="15"/>
        <v>14000</v>
      </c>
    </row>
    <row r="377" spans="1:14" ht="15" thickBot="1" x14ac:dyDescent="0.35">
      <c r="A377" s="16">
        <v>46154</v>
      </c>
      <c r="B377" s="10" t="s">
        <v>24</v>
      </c>
      <c r="C377" s="13">
        <v>9</v>
      </c>
      <c r="D377" s="11">
        <f>VLOOKUP(B377,[1]lantai9!$B:$G,6,FALSE)</f>
        <v>2500</v>
      </c>
      <c r="E377" s="11">
        <f>VLOOKUP(B377,karyawan!B:D,3,FALSE)</f>
        <v>1465</v>
      </c>
      <c r="F377" s="11" t="str">
        <f>VLOOKUP(B377,karyawan!B:E,4,FALSE)</f>
        <v>Compliance</v>
      </c>
      <c r="G377" s="12">
        <v>10</v>
      </c>
      <c r="H377" s="40">
        <f t="shared" si="18"/>
        <v>59</v>
      </c>
      <c r="I377" s="13">
        <v>11</v>
      </c>
      <c r="J377" s="43">
        <v>8</v>
      </c>
      <c r="K377" s="14">
        <f t="shared" si="19"/>
        <v>2</v>
      </c>
      <c r="L377" s="13">
        <v>8</v>
      </c>
      <c r="M377" s="13">
        <f t="shared" si="17"/>
        <v>3</v>
      </c>
      <c r="N377" s="15">
        <f t="shared" si="15"/>
        <v>7500</v>
      </c>
    </row>
    <row r="378" spans="1:14" ht="15" thickBot="1" x14ac:dyDescent="0.35">
      <c r="A378" s="16">
        <v>46154</v>
      </c>
      <c r="B378" s="10" t="s">
        <v>25</v>
      </c>
      <c r="C378" s="13">
        <v>9</v>
      </c>
      <c r="D378" s="11">
        <f>VLOOKUP(B378,[1]lantai9!$B:$G,6,FALSE)</f>
        <v>10000</v>
      </c>
      <c r="E378" s="11">
        <f>VLOOKUP(B378,karyawan!B:D,3,FALSE)</f>
        <v>9200</v>
      </c>
      <c r="F378" s="11" t="str">
        <f>VLOOKUP(B378,karyawan!B:E,4,FALSE)</f>
        <v>Compliance</v>
      </c>
      <c r="G378" s="12">
        <v>15</v>
      </c>
      <c r="H378" s="40">
        <f t="shared" si="18"/>
        <v>0</v>
      </c>
      <c r="I378" s="13">
        <v>15</v>
      </c>
      <c r="J378" s="43">
        <v>15</v>
      </c>
      <c r="K378" s="14">
        <f t="shared" si="19"/>
        <v>0</v>
      </c>
      <c r="L378" s="13">
        <v>15</v>
      </c>
      <c r="M378" s="13">
        <f t="shared" si="17"/>
        <v>0</v>
      </c>
      <c r="N378" s="15">
        <f t="shared" si="15"/>
        <v>0</v>
      </c>
    </row>
    <row r="379" spans="1:14" ht="15" thickBot="1" x14ac:dyDescent="0.35">
      <c r="A379" s="16">
        <v>46154</v>
      </c>
      <c r="B379" s="10" t="s">
        <v>26</v>
      </c>
      <c r="C379" s="13">
        <v>9</v>
      </c>
      <c r="D379" s="11">
        <f>VLOOKUP(B379,[1]lantai9!$B:$G,6,FALSE)</f>
        <v>15000</v>
      </c>
      <c r="E379" s="11">
        <f>VLOOKUP(B379,karyawan!B:D,3,FALSE)</f>
        <v>13807</v>
      </c>
      <c r="F379" s="11" t="str">
        <f>VLOOKUP(B379,karyawan!B:E,4,FALSE)</f>
        <v>Compliance</v>
      </c>
      <c r="G379" s="12">
        <v>10</v>
      </c>
      <c r="H379" s="40">
        <f t="shared" si="18"/>
        <v>4</v>
      </c>
      <c r="I379" s="13">
        <v>11</v>
      </c>
      <c r="J379" s="43">
        <v>2</v>
      </c>
      <c r="K379" s="14">
        <f t="shared" si="19"/>
        <v>4</v>
      </c>
      <c r="L379" s="13">
        <v>2</v>
      </c>
      <c r="M379" s="13">
        <f t="shared" si="17"/>
        <v>9</v>
      </c>
      <c r="N379" s="15">
        <f t="shared" si="15"/>
        <v>135000</v>
      </c>
    </row>
    <row r="380" spans="1:14" ht="15" thickBot="1" x14ac:dyDescent="0.35">
      <c r="A380" s="16">
        <v>46154</v>
      </c>
      <c r="B380" s="10" t="s">
        <v>27</v>
      </c>
      <c r="C380" s="13">
        <v>9</v>
      </c>
      <c r="D380" s="11">
        <f>VLOOKUP(B380,[1]lantai9!$B:$G,6,FALSE)</f>
        <v>23000</v>
      </c>
      <c r="E380" s="11">
        <f>VLOOKUP(B380,karyawan!B:D,3,FALSE)</f>
        <v>21760</v>
      </c>
      <c r="F380" s="11" t="str">
        <f>VLOOKUP(B380,karyawan!B:E,4,FALSE)</f>
        <v>Compliance</v>
      </c>
      <c r="G380" s="12">
        <v>7</v>
      </c>
      <c r="H380" s="40">
        <f t="shared" si="18"/>
        <v>0</v>
      </c>
      <c r="I380" s="13">
        <v>2</v>
      </c>
      <c r="J380" s="43">
        <v>2</v>
      </c>
      <c r="K380" s="14">
        <f t="shared" si="19"/>
        <v>0</v>
      </c>
      <c r="L380" s="13">
        <v>2</v>
      </c>
      <c r="M380" s="13">
        <f t="shared" si="17"/>
        <v>0</v>
      </c>
      <c r="N380" s="15">
        <f t="shared" si="15"/>
        <v>0</v>
      </c>
    </row>
    <row r="381" spans="1:14" ht="15" thickBot="1" x14ac:dyDescent="0.35">
      <c r="A381" s="16">
        <v>46154</v>
      </c>
      <c r="B381" s="17" t="s">
        <v>28</v>
      </c>
      <c r="C381" s="13">
        <v>9</v>
      </c>
      <c r="D381" s="11">
        <f>VLOOKUP(B381,[1]lantai9!$B:$G,6,FALSE)</f>
        <v>11000</v>
      </c>
      <c r="E381" s="11">
        <f>VLOOKUP(B381,karyawan!B:D,3,FALSE)</f>
        <v>10000</v>
      </c>
      <c r="F381" s="11" t="str">
        <f>VLOOKUP(B381,karyawan!B:E,4,FALSE)</f>
        <v>Compliance</v>
      </c>
      <c r="G381" s="12">
        <v>8</v>
      </c>
      <c r="H381" s="40">
        <f t="shared" si="18"/>
        <v>6</v>
      </c>
      <c r="I381" s="13">
        <v>8</v>
      </c>
      <c r="J381" s="43">
        <v>6</v>
      </c>
      <c r="K381" s="14">
        <f t="shared" si="19"/>
        <v>3</v>
      </c>
      <c r="L381" s="13">
        <v>5</v>
      </c>
      <c r="M381" s="13">
        <f t="shared" si="17"/>
        <v>3</v>
      </c>
      <c r="N381" s="15">
        <f t="shared" si="15"/>
        <v>33000</v>
      </c>
    </row>
    <row r="382" spans="1:14" ht="15" thickBot="1" x14ac:dyDescent="0.35">
      <c r="A382" s="16">
        <v>46154</v>
      </c>
      <c r="B382" s="17" t="s">
        <v>29</v>
      </c>
      <c r="C382" s="13">
        <v>9</v>
      </c>
      <c r="D382" s="11">
        <f>VLOOKUP(B382,[1]lantai9!$B:$G,6,FALSE)</f>
        <v>14500</v>
      </c>
      <c r="E382" s="11">
        <f>VLOOKUP(B382,karyawan!B:D,3,FALSE)</f>
        <v>13500</v>
      </c>
      <c r="F382" s="11" t="str">
        <f>VLOOKUP(B382,karyawan!B:E,4,FALSE)</f>
        <v>Compliance</v>
      </c>
      <c r="G382" s="12">
        <v>6</v>
      </c>
      <c r="H382" s="40">
        <f t="shared" si="18"/>
        <v>0</v>
      </c>
      <c r="I382" s="13">
        <v>3</v>
      </c>
      <c r="J382" s="43">
        <v>3</v>
      </c>
      <c r="K382" s="14">
        <f t="shared" si="19"/>
        <v>0</v>
      </c>
      <c r="L382" s="13">
        <v>2</v>
      </c>
      <c r="M382" s="13">
        <f t="shared" si="17"/>
        <v>1</v>
      </c>
      <c r="N382" s="15">
        <f t="shared" si="15"/>
        <v>14500</v>
      </c>
    </row>
    <row r="383" spans="1:14" ht="15" thickBot="1" x14ac:dyDescent="0.35">
      <c r="A383" s="16">
        <v>46154</v>
      </c>
      <c r="B383" s="17" t="s">
        <v>30</v>
      </c>
      <c r="C383" s="13">
        <v>9</v>
      </c>
      <c r="D383" s="11">
        <f>VLOOKUP(B383,[1]lantai9!$B:$G,6,FALSE)</f>
        <v>3500</v>
      </c>
      <c r="E383" s="11">
        <f>VLOOKUP(B383,karyawan!B:D,3,FALSE)</f>
        <v>2500</v>
      </c>
      <c r="F383" s="11" t="str">
        <f>VLOOKUP(B383,karyawan!B:E,4,FALSE)</f>
        <v>Compliance</v>
      </c>
      <c r="G383" s="12">
        <v>20</v>
      </c>
      <c r="H383" s="40">
        <f t="shared" si="18"/>
        <v>0</v>
      </c>
      <c r="I383" s="13">
        <v>19</v>
      </c>
      <c r="J383" s="43">
        <v>14</v>
      </c>
      <c r="K383" s="14">
        <f t="shared" si="19"/>
        <v>0</v>
      </c>
      <c r="L383" s="13">
        <v>15</v>
      </c>
      <c r="M383" s="13">
        <f t="shared" si="17"/>
        <v>4</v>
      </c>
      <c r="N383" s="15">
        <f t="shared" si="15"/>
        <v>14000</v>
      </c>
    </row>
    <row r="384" spans="1:14" ht="15" thickBot="1" x14ac:dyDescent="0.35">
      <c r="A384" s="16">
        <v>46154</v>
      </c>
      <c r="B384" s="17" t="s">
        <v>34</v>
      </c>
      <c r="C384" s="13">
        <v>9</v>
      </c>
      <c r="D384" s="11">
        <f>VLOOKUP(B384,[1]lantai9!$B:$G,6,FALSE)</f>
        <v>5500</v>
      </c>
      <c r="E384" s="11">
        <f>VLOOKUP(B384,karyawan!B:D,3,FALSE)</f>
        <v>4500</v>
      </c>
      <c r="F384" s="11" t="str">
        <f>VLOOKUP(B384,karyawan!B:E,4,FALSE)</f>
        <v>Compliance</v>
      </c>
      <c r="G384" s="12">
        <v>8</v>
      </c>
      <c r="H384" s="40">
        <f t="shared" si="18"/>
        <v>14</v>
      </c>
      <c r="I384" s="13">
        <v>8</v>
      </c>
      <c r="J384" s="43">
        <v>5</v>
      </c>
      <c r="K384" s="14">
        <f t="shared" si="19"/>
        <v>3</v>
      </c>
      <c r="L384" s="13">
        <v>5</v>
      </c>
      <c r="M384" s="13">
        <f t="shared" si="17"/>
        <v>3</v>
      </c>
      <c r="N384" s="15">
        <f t="shared" si="15"/>
        <v>16500</v>
      </c>
    </row>
    <row r="385" spans="1:14" x14ac:dyDescent="0.3">
      <c r="A385" s="16">
        <v>46154</v>
      </c>
      <c r="B385" s="17" t="s">
        <v>35</v>
      </c>
      <c r="C385" s="13">
        <v>9</v>
      </c>
      <c r="D385" s="11">
        <f>VLOOKUP(B385,[1]lantai9!$B:$G,6,FALSE)</f>
        <v>9000</v>
      </c>
      <c r="E385" s="11">
        <f>VLOOKUP(B385,karyawan!B:D,3,FALSE)</f>
        <v>8000</v>
      </c>
      <c r="F385" s="11" t="str">
        <f>VLOOKUP(B385,karyawan!B:E,4,FALSE)</f>
        <v>Compliance</v>
      </c>
      <c r="G385" s="12">
        <v>3</v>
      </c>
      <c r="H385" s="40">
        <f t="shared" si="18"/>
        <v>0</v>
      </c>
      <c r="I385" s="41">
        <v>1</v>
      </c>
      <c r="J385" s="43">
        <v>4</v>
      </c>
      <c r="K385" s="14">
        <f t="shared" si="19"/>
        <v>0</v>
      </c>
      <c r="L385" s="13">
        <v>0</v>
      </c>
      <c r="M385" s="13">
        <f t="shared" si="17"/>
        <v>1</v>
      </c>
      <c r="N385" s="19">
        <f t="shared" si="15"/>
        <v>9000</v>
      </c>
    </row>
    <row r="386" spans="1:14" x14ac:dyDescent="0.3">
      <c r="A386" s="16">
        <v>46155</v>
      </c>
      <c r="B386" s="10" t="s">
        <v>12</v>
      </c>
      <c r="C386" s="13">
        <v>3</v>
      </c>
      <c r="D386" s="11">
        <f>VLOOKUP(B386,[1]lantai9!$B:$G,6,FALSE)</f>
        <v>35000</v>
      </c>
      <c r="E386" s="11">
        <f>VLOOKUP(B386,karyawan!B:D,3,FALSE)</f>
        <v>34000</v>
      </c>
      <c r="F386" s="11" t="str">
        <f>VLOOKUP(B386,karyawan!B:E,4,FALSE)</f>
        <v>Florida</v>
      </c>
      <c r="G386" s="12">
        <v>5</v>
      </c>
      <c r="H386" s="40">
        <f>IFERROR(Inventory!$D86,"0")</f>
        <v>0</v>
      </c>
      <c r="I386" s="42">
        <f t="shared" ref="I386:I417" si="20">K323+L323</f>
        <v>0</v>
      </c>
      <c r="J386" s="18"/>
      <c r="K386" s="14">
        <f t="shared" si="19"/>
        <v>0</v>
      </c>
      <c r="L386" s="13">
        <v>0</v>
      </c>
      <c r="M386" s="8"/>
      <c r="N386" s="8"/>
    </row>
    <row r="387" spans="1:14" x14ac:dyDescent="0.3">
      <c r="A387" s="16">
        <v>46155</v>
      </c>
      <c r="B387" s="10" t="s">
        <v>13</v>
      </c>
      <c r="C387" s="13">
        <v>3</v>
      </c>
      <c r="D387" s="11">
        <f>VLOOKUP(B387,[1]lantai9!$B:$G,6,FALSE)</f>
        <v>23000</v>
      </c>
      <c r="E387" s="11">
        <f>VLOOKUP(B387,karyawan!B:D,3,FALSE)</f>
        <v>22000</v>
      </c>
      <c r="F387" s="11" t="str">
        <f>VLOOKUP(B387,karyawan!B:E,4,FALSE)</f>
        <v>Yohannes</v>
      </c>
      <c r="G387" s="12">
        <v>6</v>
      </c>
      <c r="H387" s="40">
        <f>IFERROR(Inventory!$D87,"0")</f>
        <v>0</v>
      </c>
      <c r="I387" s="42">
        <f t="shared" si="20"/>
        <v>6</v>
      </c>
      <c r="J387" s="18"/>
      <c r="K387" s="14">
        <f t="shared" ref="K387:K418" si="21">IF(H387&gt;MAX(G387-L387,0),MAX(G387-L387,0),H387)</f>
        <v>0</v>
      </c>
      <c r="L387" s="13">
        <v>0</v>
      </c>
      <c r="M387" s="8"/>
      <c r="N387" s="8"/>
    </row>
    <row r="388" spans="1:14" x14ac:dyDescent="0.3">
      <c r="A388" s="16">
        <v>46155</v>
      </c>
      <c r="B388" s="10" t="s">
        <v>14</v>
      </c>
      <c r="C388" s="13">
        <v>3</v>
      </c>
      <c r="D388" s="11">
        <f>VLOOKUP(B388,[1]lantai9!$B:$G,6,FALSE)</f>
        <v>21000</v>
      </c>
      <c r="E388" s="11">
        <f>VLOOKUP(B388,karyawan!B:D,3,FALSE)</f>
        <v>20000</v>
      </c>
      <c r="F388" s="11" t="str">
        <f>VLOOKUP(B388,karyawan!B:E,4,FALSE)</f>
        <v>Damaz</v>
      </c>
      <c r="G388" s="12">
        <v>2</v>
      </c>
      <c r="H388" s="40">
        <f>IFERROR(Inventory!$D88,"0")</f>
        <v>0</v>
      </c>
      <c r="I388" s="42">
        <f t="shared" si="20"/>
        <v>1</v>
      </c>
      <c r="J388" s="18"/>
      <c r="K388" s="14">
        <f t="shared" si="21"/>
        <v>0</v>
      </c>
      <c r="L388" s="13">
        <v>0</v>
      </c>
      <c r="M388" s="8"/>
      <c r="N388" s="8"/>
    </row>
    <row r="389" spans="1:14" x14ac:dyDescent="0.3">
      <c r="A389" s="16">
        <v>46155</v>
      </c>
      <c r="B389" s="10" t="s">
        <v>15</v>
      </c>
      <c r="C389" s="13">
        <v>3</v>
      </c>
      <c r="D389" s="11">
        <f>VLOOKUP(B389,[1]lantai9!$B:$G,6,FALSE)</f>
        <v>36000</v>
      </c>
      <c r="E389" s="11">
        <f>VLOOKUP(B389,karyawan!B:D,3,FALSE)</f>
        <v>35000</v>
      </c>
      <c r="F389" s="11" t="str">
        <f>VLOOKUP(B389,karyawan!B:E,4,FALSE)</f>
        <v>Damaz</v>
      </c>
      <c r="G389" s="12">
        <v>3</v>
      </c>
      <c r="H389" s="40">
        <f>IFERROR(Inventory!$D89,"0")</f>
        <v>0</v>
      </c>
      <c r="I389" s="42">
        <f t="shared" si="20"/>
        <v>2</v>
      </c>
      <c r="J389" s="18"/>
      <c r="K389" s="14">
        <f t="shared" si="21"/>
        <v>0</v>
      </c>
      <c r="L389" s="13">
        <v>0</v>
      </c>
      <c r="M389" s="8"/>
      <c r="N389" s="8"/>
    </row>
    <row r="390" spans="1:14" x14ac:dyDescent="0.3">
      <c r="A390" s="16">
        <v>46155</v>
      </c>
      <c r="B390" s="10" t="s">
        <v>16</v>
      </c>
      <c r="C390" s="13">
        <v>3</v>
      </c>
      <c r="D390" s="11">
        <f>VLOOKUP(B390,[1]lantai9!$B:$G,6,FALSE)</f>
        <v>23000</v>
      </c>
      <c r="E390" s="11">
        <f>VLOOKUP(B390,karyawan!B:D,3,FALSE)</f>
        <v>22000</v>
      </c>
      <c r="F390" s="11" t="str">
        <f>VLOOKUP(B390,karyawan!B:E,4,FALSE)</f>
        <v>Vale</v>
      </c>
      <c r="G390" s="12">
        <v>5</v>
      </c>
      <c r="H390" s="40">
        <f>IFERROR(Inventory!$D90,"0")</f>
        <v>0</v>
      </c>
      <c r="I390" s="42">
        <f t="shared" si="20"/>
        <v>0</v>
      </c>
      <c r="J390" s="18"/>
      <c r="K390" s="14">
        <f t="shared" si="21"/>
        <v>0</v>
      </c>
      <c r="L390" s="13">
        <v>0</v>
      </c>
      <c r="M390" s="8"/>
      <c r="N390" s="8"/>
    </row>
    <row r="391" spans="1:14" x14ac:dyDescent="0.3">
      <c r="A391" s="16">
        <v>46155</v>
      </c>
      <c r="B391" s="10" t="s">
        <v>17</v>
      </c>
      <c r="C391" s="13">
        <v>3</v>
      </c>
      <c r="D391" s="11">
        <f>VLOOKUP(B391,[1]lantai9!$B:$G,6,FALSE)</f>
        <v>15000</v>
      </c>
      <c r="E391" s="11">
        <f>VLOOKUP(B391,karyawan!B:D,3,FALSE)</f>
        <v>14000</v>
      </c>
      <c r="F391" s="11" t="str">
        <f>VLOOKUP(B391,karyawan!B:E,4,FALSE)</f>
        <v>Desy</v>
      </c>
      <c r="G391" s="12">
        <v>6</v>
      </c>
      <c r="H391" s="40">
        <f>IFERROR(Inventory!$D91,"0")</f>
        <v>0</v>
      </c>
      <c r="I391" s="42">
        <f t="shared" si="20"/>
        <v>6</v>
      </c>
      <c r="J391" s="18"/>
      <c r="K391" s="14">
        <f t="shared" si="21"/>
        <v>0</v>
      </c>
      <c r="L391" s="13">
        <v>0</v>
      </c>
      <c r="M391" s="8"/>
      <c r="N391" s="8"/>
    </row>
    <row r="392" spans="1:14" x14ac:dyDescent="0.3">
      <c r="A392" s="16">
        <v>46155</v>
      </c>
      <c r="B392" s="10" t="s">
        <v>31</v>
      </c>
      <c r="C392" s="13">
        <v>3</v>
      </c>
      <c r="D392" s="11">
        <f>VLOOKUP(B392,[1]lantai9!$B:$G,6,FALSE)</f>
        <v>18000</v>
      </c>
      <c r="E392" s="11">
        <f>VLOOKUP(B392,karyawan!B:D,3,FALSE)</f>
        <v>17000</v>
      </c>
      <c r="F392" s="11" t="str">
        <f>VLOOKUP(B392,karyawan!B:E,4,FALSE)</f>
        <v>Geby</v>
      </c>
      <c r="G392" s="12">
        <v>4</v>
      </c>
      <c r="H392" s="40">
        <f>IFERROR(Inventory!$D92,"0")</f>
        <v>0</v>
      </c>
      <c r="I392" s="42">
        <f t="shared" si="20"/>
        <v>2</v>
      </c>
      <c r="J392" s="18"/>
      <c r="K392" s="14">
        <f t="shared" si="21"/>
        <v>0</v>
      </c>
      <c r="L392" s="13">
        <v>0</v>
      </c>
      <c r="M392" s="8"/>
      <c r="N392" s="8"/>
    </row>
    <row r="393" spans="1:14" x14ac:dyDescent="0.3">
      <c r="A393" s="16">
        <v>46155</v>
      </c>
      <c r="B393" s="10" t="s">
        <v>32</v>
      </c>
      <c r="C393" s="13">
        <v>3</v>
      </c>
      <c r="D393" s="11">
        <f>VLOOKUP(B393,[1]lantai9!$B:$G,6,FALSE)</f>
        <v>21000</v>
      </c>
      <c r="E393" s="11">
        <f>VLOOKUP(B393,karyawan!B:D,3,FALSE)</f>
        <v>20000</v>
      </c>
      <c r="F393" s="11" t="str">
        <f>VLOOKUP(B393,karyawan!B:E,4,FALSE)</f>
        <v>Geby</v>
      </c>
      <c r="G393" s="12">
        <v>3</v>
      </c>
      <c r="H393" s="40">
        <f>IFERROR(Inventory!$D93,"0")</f>
        <v>0</v>
      </c>
      <c r="I393" s="42">
        <f t="shared" si="20"/>
        <v>0</v>
      </c>
      <c r="J393" s="18"/>
      <c r="K393" s="14">
        <f t="shared" si="21"/>
        <v>0</v>
      </c>
      <c r="L393" s="13">
        <v>0</v>
      </c>
      <c r="M393" s="8"/>
      <c r="N393" s="8"/>
    </row>
    <row r="394" spans="1:14" x14ac:dyDescent="0.3">
      <c r="A394" s="16">
        <v>46155</v>
      </c>
      <c r="B394" s="10" t="s">
        <v>33</v>
      </c>
      <c r="C394" s="13">
        <v>3</v>
      </c>
      <c r="D394" s="11">
        <f>VLOOKUP(B394,[1]lantai9!$B:$G,6,FALSE)</f>
        <v>35000</v>
      </c>
      <c r="E394" s="11">
        <f>VLOOKUP(B394,karyawan!B:D,3,FALSE)</f>
        <v>34000</v>
      </c>
      <c r="F394" s="11" t="str">
        <f>VLOOKUP(B394,karyawan!B:E,4,FALSE)</f>
        <v>Sherly</v>
      </c>
      <c r="G394" s="12">
        <v>2</v>
      </c>
      <c r="H394" s="40">
        <f>IFERROR(Inventory!$D94,"0")</f>
        <v>0</v>
      </c>
      <c r="I394" s="42">
        <f t="shared" si="20"/>
        <v>2</v>
      </c>
      <c r="J394" s="18"/>
      <c r="K394" s="14">
        <f t="shared" si="21"/>
        <v>0</v>
      </c>
      <c r="L394" s="13">
        <v>0</v>
      </c>
      <c r="M394" s="8"/>
      <c r="N394" s="8"/>
    </row>
    <row r="395" spans="1:14" x14ac:dyDescent="0.3">
      <c r="A395" s="16">
        <v>46155</v>
      </c>
      <c r="B395" s="10" t="s">
        <v>21</v>
      </c>
      <c r="C395" s="13">
        <v>3</v>
      </c>
      <c r="D395" s="11">
        <f>VLOOKUP(B395,[1]lantai9!$B:$G,6,FALSE)</f>
        <v>40000</v>
      </c>
      <c r="E395" s="11">
        <f>VLOOKUP(B395,karyawan!B:D,3,FALSE)</f>
        <v>39000</v>
      </c>
      <c r="F395" s="11" t="str">
        <f>VLOOKUP(B395,karyawan!B:E,4,FALSE)</f>
        <v>Sherly</v>
      </c>
      <c r="G395" s="12">
        <v>4</v>
      </c>
      <c r="H395" s="40">
        <f>IFERROR(Inventory!$D95,"0")</f>
        <v>0</v>
      </c>
      <c r="I395" s="42">
        <f t="shared" si="20"/>
        <v>4</v>
      </c>
      <c r="J395" s="18"/>
      <c r="K395" s="14">
        <f t="shared" si="21"/>
        <v>0</v>
      </c>
      <c r="L395" s="13">
        <v>0</v>
      </c>
      <c r="M395" s="8"/>
      <c r="N395" s="8"/>
    </row>
    <row r="396" spans="1:14" x14ac:dyDescent="0.3">
      <c r="A396" s="16">
        <v>46155</v>
      </c>
      <c r="B396" s="10" t="s">
        <v>22</v>
      </c>
      <c r="C396" s="13">
        <v>3</v>
      </c>
      <c r="D396" s="11">
        <f>VLOOKUP(B396,[1]lantai9!$B:$G,6,FALSE)</f>
        <v>2500</v>
      </c>
      <c r="E396" s="11">
        <f>VLOOKUP(B396,karyawan!B:D,3,FALSE)</f>
        <v>1480</v>
      </c>
      <c r="F396" s="11" t="str">
        <f>VLOOKUP(B396,karyawan!B:E,4,FALSE)</f>
        <v>Compliance</v>
      </c>
      <c r="G396" s="12">
        <v>12</v>
      </c>
      <c r="H396" s="40">
        <f>IFERROR(Inventory!$D96,"0")</f>
        <v>0</v>
      </c>
      <c r="I396" s="42">
        <f t="shared" si="20"/>
        <v>3</v>
      </c>
      <c r="J396" s="18"/>
      <c r="K396" s="14">
        <f t="shared" si="21"/>
        <v>0</v>
      </c>
      <c r="L396" s="13">
        <v>0</v>
      </c>
      <c r="M396" s="8"/>
      <c r="N396" s="8"/>
    </row>
    <row r="397" spans="1:14" x14ac:dyDescent="0.3">
      <c r="A397" s="16">
        <v>46155</v>
      </c>
      <c r="B397" s="10" t="s">
        <v>23</v>
      </c>
      <c r="C397" s="13">
        <v>3</v>
      </c>
      <c r="D397" s="11">
        <f>VLOOKUP(B397,[1]lantai9!$B:$G,6,FALSE)</f>
        <v>2000</v>
      </c>
      <c r="E397" s="11">
        <f>VLOOKUP(B397,karyawan!B:D,3,FALSE)</f>
        <v>1074</v>
      </c>
      <c r="F397" s="11" t="str">
        <f>VLOOKUP(B397,karyawan!B:E,4,FALSE)</f>
        <v>Compliance</v>
      </c>
      <c r="G397" s="12">
        <v>10</v>
      </c>
      <c r="H397" s="40">
        <f>IFERROR(Inventory!$D97,"0")</f>
        <v>0</v>
      </c>
      <c r="I397" s="42">
        <f t="shared" si="20"/>
        <v>10</v>
      </c>
      <c r="J397" s="18"/>
      <c r="K397" s="14">
        <f t="shared" si="21"/>
        <v>0</v>
      </c>
      <c r="L397" s="13">
        <v>0</v>
      </c>
      <c r="M397" s="8"/>
      <c r="N397" s="8"/>
    </row>
    <row r="398" spans="1:14" x14ac:dyDescent="0.3">
      <c r="A398" s="16">
        <v>46155</v>
      </c>
      <c r="B398" s="10" t="s">
        <v>24</v>
      </c>
      <c r="C398" s="13">
        <v>3</v>
      </c>
      <c r="D398" s="11">
        <f>VLOOKUP(B398,[1]lantai9!$B:$G,6,FALSE)</f>
        <v>2500</v>
      </c>
      <c r="E398" s="11">
        <f>VLOOKUP(B398,karyawan!B:D,3,FALSE)</f>
        <v>1465</v>
      </c>
      <c r="F398" s="11" t="str">
        <f>VLOOKUP(B398,karyawan!B:E,4,FALSE)</f>
        <v>Compliance</v>
      </c>
      <c r="G398" s="12">
        <v>10</v>
      </c>
      <c r="H398" s="40">
        <f>IFERROR(Inventory!$D98,"0")</f>
        <v>0</v>
      </c>
      <c r="I398" s="42">
        <f t="shared" si="20"/>
        <v>10</v>
      </c>
      <c r="J398" s="18"/>
      <c r="K398" s="14">
        <f t="shared" si="21"/>
        <v>0</v>
      </c>
      <c r="L398" s="13">
        <v>0</v>
      </c>
      <c r="M398" s="8"/>
      <c r="N398" s="8"/>
    </row>
    <row r="399" spans="1:14" x14ac:dyDescent="0.3">
      <c r="A399" s="16">
        <v>46155</v>
      </c>
      <c r="B399" s="10" t="s">
        <v>25</v>
      </c>
      <c r="C399" s="13">
        <v>3</v>
      </c>
      <c r="D399" s="11">
        <f>VLOOKUP(B399,[1]lantai9!$B:$G,6,FALSE)</f>
        <v>10000</v>
      </c>
      <c r="E399" s="11">
        <f>VLOOKUP(B399,karyawan!B:D,3,FALSE)</f>
        <v>9200</v>
      </c>
      <c r="F399" s="11" t="str">
        <f>VLOOKUP(B399,karyawan!B:E,4,FALSE)</f>
        <v>Compliance</v>
      </c>
      <c r="G399" s="12">
        <v>15</v>
      </c>
      <c r="H399" s="40">
        <f>IFERROR(Inventory!$D99,"0")</f>
        <v>0</v>
      </c>
      <c r="I399" s="42">
        <f t="shared" si="20"/>
        <v>15</v>
      </c>
      <c r="J399" s="18"/>
      <c r="K399" s="14">
        <f t="shared" si="21"/>
        <v>0</v>
      </c>
      <c r="L399" s="13">
        <v>0</v>
      </c>
      <c r="M399" s="8"/>
      <c r="N399" s="8"/>
    </row>
    <row r="400" spans="1:14" x14ac:dyDescent="0.3">
      <c r="A400" s="16">
        <v>46155</v>
      </c>
      <c r="B400" s="10" t="s">
        <v>26</v>
      </c>
      <c r="C400" s="13">
        <v>3</v>
      </c>
      <c r="D400" s="11">
        <f>VLOOKUP(B400,[1]lantai9!$B:$G,6,FALSE)</f>
        <v>15000</v>
      </c>
      <c r="E400" s="11">
        <f>VLOOKUP(B400,karyawan!B:D,3,FALSE)</f>
        <v>13807</v>
      </c>
      <c r="F400" s="11" t="str">
        <f>VLOOKUP(B400,karyawan!B:E,4,FALSE)</f>
        <v>Compliance</v>
      </c>
      <c r="G400" s="12">
        <v>10</v>
      </c>
      <c r="H400" s="40">
        <f>IFERROR(Inventory!$D100,"0")</f>
        <v>0</v>
      </c>
      <c r="I400" s="42">
        <f t="shared" si="20"/>
        <v>10</v>
      </c>
      <c r="J400" s="18"/>
      <c r="K400" s="14">
        <f t="shared" si="21"/>
        <v>0</v>
      </c>
      <c r="L400" s="13">
        <v>0</v>
      </c>
      <c r="M400" s="8"/>
      <c r="N400" s="8"/>
    </row>
    <row r="401" spans="1:14" x14ac:dyDescent="0.3">
      <c r="A401" s="16">
        <v>46155</v>
      </c>
      <c r="B401" s="10" t="s">
        <v>27</v>
      </c>
      <c r="C401" s="13">
        <v>3</v>
      </c>
      <c r="D401" s="11">
        <f>VLOOKUP(B401,[1]lantai9!$B:$G,6,FALSE)</f>
        <v>23000</v>
      </c>
      <c r="E401" s="11">
        <f>VLOOKUP(B401,karyawan!B:D,3,FALSE)</f>
        <v>21760</v>
      </c>
      <c r="F401" s="11" t="str">
        <f>VLOOKUP(B401,karyawan!B:E,4,FALSE)</f>
        <v>Compliance</v>
      </c>
      <c r="G401" s="12">
        <v>7</v>
      </c>
      <c r="H401" s="40">
        <f>IFERROR(Inventory!$D101,"0")</f>
        <v>0</v>
      </c>
      <c r="I401" s="42">
        <f t="shared" si="20"/>
        <v>5</v>
      </c>
      <c r="J401" s="18"/>
      <c r="K401" s="14">
        <f t="shared" si="21"/>
        <v>0</v>
      </c>
      <c r="L401" s="13">
        <v>0</v>
      </c>
      <c r="M401" s="8"/>
      <c r="N401" s="8"/>
    </row>
    <row r="402" spans="1:14" x14ac:dyDescent="0.3">
      <c r="A402" s="16">
        <v>46155</v>
      </c>
      <c r="B402" s="17" t="s">
        <v>28</v>
      </c>
      <c r="C402" s="13">
        <v>3</v>
      </c>
      <c r="D402" s="11">
        <f>VLOOKUP(B402,[1]lantai9!$B:$G,6,FALSE)</f>
        <v>11000</v>
      </c>
      <c r="E402" s="11">
        <f>VLOOKUP(B402,karyawan!B:D,3,FALSE)</f>
        <v>10000</v>
      </c>
      <c r="F402" s="11" t="str">
        <f>VLOOKUP(B402,karyawan!B:E,4,FALSE)</f>
        <v>Compliance</v>
      </c>
      <c r="G402" s="12">
        <v>8</v>
      </c>
      <c r="H402" s="40">
        <f>IFERROR(Inventory!$D102,"0")</f>
        <v>0</v>
      </c>
      <c r="I402" s="42">
        <f t="shared" si="20"/>
        <v>8</v>
      </c>
      <c r="J402" s="18"/>
      <c r="K402" s="14">
        <f t="shared" si="21"/>
        <v>0</v>
      </c>
      <c r="L402" s="13">
        <v>0</v>
      </c>
      <c r="M402" s="8"/>
      <c r="N402" s="8"/>
    </row>
    <row r="403" spans="1:14" x14ac:dyDescent="0.3">
      <c r="A403" s="16">
        <v>46155</v>
      </c>
      <c r="B403" s="17" t="s">
        <v>29</v>
      </c>
      <c r="C403" s="13">
        <v>3</v>
      </c>
      <c r="D403" s="11">
        <f>VLOOKUP(B403,[1]lantai9!$B:$G,6,FALSE)</f>
        <v>14500</v>
      </c>
      <c r="E403" s="11">
        <f>VLOOKUP(B403,karyawan!B:D,3,FALSE)</f>
        <v>13500</v>
      </c>
      <c r="F403" s="11" t="str">
        <f>VLOOKUP(B403,karyawan!B:E,4,FALSE)</f>
        <v>Compliance</v>
      </c>
      <c r="G403" s="12">
        <v>6</v>
      </c>
      <c r="H403" s="40">
        <f>IFERROR(Inventory!$D103,"0")</f>
        <v>0</v>
      </c>
      <c r="I403" s="42">
        <f t="shared" si="20"/>
        <v>4</v>
      </c>
      <c r="J403" s="18"/>
      <c r="K403" s="14">
        <f t="shared" si="21"/>
        <v>0</v>
      </c>
      <c r="L403" s="13">
        <v>0</v>
      </c>
      <c r="M403" s="8"/>
      <c r="N403" s="8"/>
    </row>
    <row r="404" spans="1:14" x14ac:dyDescent="0.3">
      <c r="A404" s="16">
        <v>46155</v>
      </c>
      <c r="B404" s="17" t="s">
        <v>30</v>
      </c>
      <c r="C404" s="13">
        <v>3</v>
      </c>
      <c r="D404" s="11">
        <f>VLOOKUP(B404,[1]lantai9!$B:$G,6,FALSE)</f>
        <v>3500</v>
      </c>
      <c r="E404" s="11">
        <f>VLOOKUP(B404,karyawan!B:D,3,FALSE)</f>
        <v>2500</v>
      </c>
      <c r="F404" s="11" t="str">
        <f>VLOOKUP(B404,karyawan!B:E,4,FALSE)</f>
        <v>Compliance</v>
      </c>
      <c r="G404" s="12">
        <v>20</v>
      </c>
      <c r="H404" s="40">
        <f>IFERROR(Inventory!$D104,"0")</f>
        <v>0</v>
      </c>
      <c r="I404" s="42">
        <f t="shared" si="20"/>
        <v>5</v>
      </c>
      <c r="J404" s="18"/>
      <c r="K404" s="14">
        <f t="shared" si="21"/>
        <v>0</v>
      </c>
      <c r="L404" s="13">
        <v>0</v>
      </c>
      <c r="M404" s="8"/>
      <c r="N404" s="8"/>
    </row>
    <row r="405" spans="1:14" x14ac:dyDescent="0.3">
      <c r="A405" s="16">
        <v>46155</v>
      </c>
      <c r="B405" s="17" t="s">
        <v>34</v>
      </c>
      <c r="C405" s="13">
        <v>3</v>
      </c>
      <c r="D405" s="11">
        <f>VLOOKUP(B405,[1]lantai9!$B:$G,6,FALSE)</f>
        <v>5500</v>
      </c>
      <c r="E405" s="11">
        <f>VLOOKUP(B405,karyawan!B:D,3,FALSE)</f>
        <v>4500</v>
      </c>
      <c r="F405" s="11" t="str">
        <f>VLOOKUP(B405,karyawan!B:E,4,FALSE)</f>
        <v>Compliance</v>
      </c>
      <c r="G405" s="12">
        <v>8</v>
      </c>
      <c r="H405" s="40">
        <f>IFERROR(Inventory!$D105,"0")</f>
        <v>0</v>
      </c>
      <c r="I405" s="42">
        <f t="shared" si="20"/>
        <v>8</v>
      </c>
      <c r="J405" s="18"/>
      <c r="K405" s="14">
        <f t="shared" si="21"/>
        <v>0</v>
      </c>
      <c r="L405" s="13">
        <v>0</v>
      </c>
      <c r="M405" s="8"/>
      <c r="N405" s="8"/>
    </row>
    <row r="406" spans="1:14" x14ac:dyDescent="0.3">
      <c r="A406" s="16">
        <v>46155</v>
      </c>
      <c r="B406" s="17" t="s">
        <v>35</v>
      </c>
      <c r="C406" s="13">
        <v>3</v>
      </c>
      <c r="D406" s="11">
        <f>VLOOKUP(B406,[1]lantai9!$B:$G,6,FALSE)</f>
        <v>9000</v>
      </c>
      <c r="E406" s="11">
        <f>VLOOKUP(B406,karyawan!B:D,3,FALSE)</f>
        <v>8000</v>
      </c>
      <c r="F406" s="11" t="str">
        <f>VLOOKUP(B406,karyawan!B:E,4,FALSE)</f>
        <v>Compliance</v>
      </c>
      <c r="G406" s="12">
        <v>3</v>
      </c>
      <c r="H406" s="40">
        <f>IFERROR(Inventory!$D106,"0")</f>
        <v>0</v>
      </c>
      <c r="I406" s="42">
        <f t="shared" si="20"/>
        <v>2</v>
      </c>
      <c r="J406" s="18"/>
      <c r="K406" s="14">
        <f t="shared" si="21"/>
        <v>0</v>
      </c>
      <c r="L406" s="13">
        <v>0</v>
      </c>
      <c r="M406" s="8"/>
      <c r="N406" s="8"/>
    </row>
    <row r="407" spans="1:14" x14ac:dyDescent="0.3">
      <c r="A407" s="16">
        <v>46155</v>
      </c>
      <c r="B407" s="10" t="s">
        <v>12</v>
      </c>
      <c r="C407" s="13">
        <v>8</v>
      </c>
      <c r="D407" s="11">
        <f>VLOOKUP(B407,[1]lantai9!$B:$G,6,FALSE)</f>
        <v>35000</v>
      </c>
      <c r="E407" s="11">
        <f>VLOOKUP(B407,karyawan!B:D,3,FALSE)</f>
        <v>34000</v>
      </c>
      <c r="F407" s="11" t="str">
        <f>VLOOKUP(B407,karyawan!B:E,4,FALSE)</f>
        <v>Florida</v>
      </c>
      <c r="G407" s="12">
        <v>5</v>
      </c>
      <c r="H407" s="40">
        <f>IFERROR(Inventory!$D107,"0")</f>
        <v>0</v>
      </c>
      <c r="I407" s="42">
        <f t="shared" si="20"/>
        <v>4</v>
      </c>
      <c r="J407" s="18"/>
      <c r="K407" s="14">
        <f t="shared" si="21"/>
        <v>0</v>
      </c>
      <c r="L407" s="13">
        <v>0</v>
      </c>
      <c r="M407" s="8"/>
      <c r="N407" s="8"/>
    </row>
    <row r="408" spans="1:14" x14ac:dyDescent="0.3">
      <c r="A408" s="16">
        <v>46155</v>
      </c>
      <c r="B408" s="10" t="s">
        <v>13</v>
      </c>
      <c r="C408" s="13">
        <v>8</v>
      </c>
      <c r="D408" s="11">
        <f>VLOOKUP(B408,[1]lantai9!$B:$G,6,FALSE)</f>
        <v>23000</v>
      </c>
      <c r="E408" s="11">
        <f>VLOOKUP(B408,karyawan!B:D,3,FALSE)</f>
        <v>22000</v>
      </c>
      <c r="F408" s="11" t="str">
        <f>VLOOKUP(B408,karyawan!B:E,4,FALSE)</f>
        <v>Yohannes</v>
      </c>
      <c r="G408" s="12">
        <v>6</v>
      </c>
      <c r="H408" s="40">
        <f>IFERROR(Inventory!$D108,"0")</f>
        <v>0</v>
      </c>
      <c r="I408" s="42">
        <f t="shared" si="20"/>
        <v>6</v>
      </c>
      <c r="J408" s="18"/>
      <c r="K408" s="14">
        <f t="shared" si="21"/>
        <v>0</v>
      </c>
      <c r="L408" s="13">
        <v>0</v>
      </c>
      <c r="M408" s="8"/>
      <c r="N408" s="8"/>
    </row>
    <row r="409" spans="1:14" x14ac:dyDescent="0.3">
      <c r="A409" s="16">
        <v>46155</v>
      </c>
      <c r="B409" s="10" t="s">
        <v>14</v>
      </c>
      <c r="C409" s="13">
        <v>8</v>
      </c>
      <c r="D409" s="11">
        <f>VLOOKUP(B409,[1]lantai9!$B:$G,6,FALSE)</f>
        <v>21000</v>
      </c>
      <c r="E409" s="11">
        <f>VLOOKUP(B409,karyawan!B:D,3,FALSE)</f>
        <v>20000</v>
      </c>
      <c r="F409" s="11" t="str">
        <f>VLOOKUP(B409,karyawan!B:E,4,FALSE)</f>
        <v>Damaz</v>
      </c>
      <c r="G409" s="12">
        <v>2</v>
      </c>
      <c r="H409" s="40">
        <f>IFERROR(Inventory!$D109,"0")</f>
        <v>0</v>
      </c>
      <c r="I409" s="42">
        <f t="shared" si="20"/>
        <v>1</v>
      </c>
      <c r="J409" s="18"/>
      <c r="K409" s="14">
        <f t="shared" si="21"/>
        <v>0</v>
      </c>
      <c r="L409" s="13">
        <v>0</v>
      </c>
      <c r="M409" s="8"/>
      <c r="N409" s="8"/>
    </row>
    <row r="410" spans="1:14" x14ac:dyDescent="0.3">
      <c r="A410" s="16">
        <v>46155</v>
      </c>
      <c r="B410" s="10" t="s">
        <v>15</v>
      </c>
      <c r="C410" s="13">
        <v>8</v>
      </c>
      <c r="D410" s="11">
        <f>VLOOKUP(B410,[1]lantai9!$B:$G,6,FALSE)</f>
        <v>36000</v>
      </c>
      <c r="E410" s="11">
        <f>VLOOKUP(B410,karyawan!B:D,3,FALSE)</f>
        <v>35000</v>
      </c>
      <c r="F410" s="11" t="str">
        <f>VLOOKUP(B410,karyawan!B:E,4,FALSE)</f>
        <v>Damaz</v>
      </c>
      <c r="G410" s="12">
        <v>3</v>
      </c>
      <c r="H410" s="40">
        <f>IFERROR(Inventory!$D110,"0")</f>
        <v>0</v>
      </c>
      <c r="I410" s="42">
        <f t="shared" si="20"/>
        <v>2</v>
      </c>
      <c r="J410" s="18"/>
      <c r="K410" s="14">
        <f t="shared" si="21"/>
        <v>0</v>
      </c>
      <c r="L410" s="13">
        <v>0</v>
      </c>
      <c r="M410" s="8"/>
      <c r="N410" s="8"/>
    </row>
    <row r="411" spans="1:14" x14ac:dyDescent="0.3">
      <c r="A411" s="16">
        <v>46155</v>
      </c>
      <c r="B411" s="10" t="s">
        <v>16</v>
      </c>
      <c r="C411" s="13">
        <v>8</v>
      </c>
      <c r="D411" s="11">
        <f>VLOOKUP(B411,[1]lantai9!$B:$G,6,FALSE)</f>
        <v>23000</v>
      </c>
      <c r="E411" s="11">
        <f>VLOOKUP(B411,karyawan!B:D,3,FALSE)</f>
        <v>22000</v>
      </c>
      <c r="F411" s="11" t="str">
        <f>VLOOKUP(B411,karyawan!B:E,4,FALSE)</f>
        <v>Vale</v>
      </c>
      <c r="G411" s="12">
        <v>5</v>
      </c>
      <c r="H411" s="40">
        <f>IFERROR(Inventory!$D111,"0")</f>
        <v>0</v>
      </c>
      <c r="I411" s="42">
        <f t="shared" si="20"/>
        <v>2</v>
      </c>
      <c r="J411" s="18"/>
      <c r="K411" s="14">
        <f t="shared" si="21"/>
        <v>0</v>
      </c>
      <c r="L411" s="13">
        <v>0</v>
      </c>
      <c r="M411" s="8"/>
      <c r="N411" s="8"/>
    </row>
    <row r="412" spans="1:14" x14ac:dyDescent="0.3">
      <c r="A412" s="16">
        <v>46155</v>
      </c>
      <c r="B412" s="10" t="s">
        <v>17</v>
      </c>
      <c r="C412" s="13">
        <v>8</v>
      </c>
      <c r="D412" s="11">
        <f>VLOOKUP(B412,[1]lantai9!$B:$G,6,FALSE)</f>
        <v>15000</v>
      </c>
      <c r="E412" s="11">
        <f>VLOOKUP(B412,karyawan!B:D,3,FALSE)</f>
        <v>14000</v>
      </c>
      <c r="F412" s="11" t="str">
        <f>VLOOKUP(B412,karyawan!B:E,4,FALSE)</f>
        <v>Desy</v>
      </c>
      <c r="G412" s="12">
        <v>6</v>
      </c>
      <c r="H412" s="40">
        <f>IFERROR(Inventory!$D112,"0")</f>
        <v>0</v>
      </c>
      <c r="I412" s="42">
        <f t="shared" si="20"/>
        <v>6</v>
      </c>
      <c r="J412" s="18"/>
      <c r="K412" s="14">
        <f t="shared" si="21"/>
        <v>0</v>
      </c>
      <c r="L412" s="13">
        <v>0</v>
      </c>
      <c r="M412" s="8"/>
      <c r="N412" s="8"/>
    </row>
    <row r="413" spans="1:14" x14ac:dyDescent="0.3">
      <c r="A413" s="16">
        <v>46155</v>
      </c>
      <c r="B413" s="10" t="s">
        <v>31</v>
      </c>
      <c r="C413" s="13">
        <v>8</v>
      </c>
      <c r="D413" s="11">
        <f>VLOOKUP(B413,[1]lantai9!$B:$G,6,FALSE)</f>
        <v>18000</v>
      </c>
      <c r="E413" s="11">
        <f>VLOOKUP(B413,karyawan!B:D,3,FALSE)</f>
        <v>17000</v>
      </c>
      <c r="F413" s="11" t="str">
        <f>VLOOKUP(B413,karyawan!B:E,4,FALSE)</f>
        <v>Geby</v>
      </c>
      <c r="G413" s="12">
        <v>4</v>
      </c>
      <c r="H413" s="40">
        <f>IFERROR(Inventory!$D113,"0")</f>
        <v>0</v>
      </c>
      <c r="I413" s="42">
        <f t="shared" si="20"/>
        <v>4</v>
      </c>
      <c r="J413" s="18"/>
      <c r="K413" s="14">
        <f t="shared" si="21"/>
        <v>0</v>
      </c>
      <c r="L413" s="13">
        <v>0</v>
      </c>
      <c r="M413" s="8"/>
      <c r="N413" s="8"/>
    </row>
    <row r="414" spans="1:14" x14ac:dyDescent="0.3">
      <c r="A414" s="16">
        <v>46155</v>
      </c>
      <c r="B414" s="10" t="s">
        <v>32</v>
      </c>
      <c r="C414" s="13">
        <v>8</v>
      </c>
      <c r="D414" s="11">
        <f>VLOOKUP(B414,[1]lantai9!$B:$G,6,FALSE)</f>
        <v>21000</v>
      </c>
      <c r="E414" s="11">
        <f>VLOOKUP(B414,karyawan!B:D,3,FALSE)</f>
        <v>20000</v>
      </c>
      <c r="F414" s="11" t="str">
        <f>VLOOKUP(B414,karyawan!B:E,4,FALSE)</f>
        <v>Geby</v>
      </c>
      <c r="G414" s="12">
        <v>3</v>
      </c>
      <c r="H414" s="40">
        <f>IFERROR(Inventory!$D114,"0")</f>
        <v>0</v>
      </c>
      <c r="I414" s="42">
        <f t="shared" si="20"/>
        <v>1</v>
      </c>
      <c r="J414" s="18"/>
      <c r="K414" s="14">
        <f t="shared" si="21"/>
        <v>0</v>
      </c>
      <c r="L414" s="13">
        <v>0</v>
      </c>
      <c r="M414" s="8"/>
      <c r="N414" s="8"/>
    </row>
    <row r="415" spans="1:14" x14ac:dyDescent="0.3">
      <c r="A415" s="16">
        <v>46155</v>
      </c>
      <c r="B415" s="10" t="s">
        <v>33</v>
      </c>
      <c r="C415" s="13">
        <v>8</v>
      </c>
      <c r="D415" s="11">
        <f>VLOOKUP(B415,[1]lantai9!$B:$G,6,FALSE)</f>
        <v>35000</v>
      </c>
      <c r="E415" s="11">
        <f>VLOOKUP(B415,karyawan!B:D,3,FALSE)</f>
        <v>34000</v>
      </c>
      <c r="F415" s="11" t="str">
        <f>VLOOKUP(B415,karyawan!B:E,4,FALSE)</f>
        <v>Sherly</v>
      </c>
      <c r="G415" s="12">
        <v>2</v>
      </c>
      <c r="H415" s="40">
        <f>IFERROR(Inventory!$D115,"0")</f>
        <v>0</v>
      </c>
      <c r="I415" s="42">
        <f t="shared" si="20"/>
        <v>2</v>
      </c>
      <c r="J415" s="18"/>
      <c r="K415" s="14">
        <f t="shared" si="21"/>
        <v>0</v>
      </c>
      <c r="L415" s="13">
        <v>0</v>
      </c>
      <c r="M415" s="8"/>
      <c r="N415" s="8"/>
    </row>
    <row r="416" spans="1:14" x14ac:dyDescent="0.3">
      <c r="A416" s="16">
        <v>46155</v>
      </c>
      <c r="B416" s="10" t="s">
        <v>21</v>
      </c>
      <c r="C416" s="13">
        <v>8</v>
      </c>
      <c r="D416" s="11">
        <f>VLOOKUP(B416,[1]lantai9!$B:$G,6,FALSE)</f>
        <v>40000</v>
      </c>
      <c r="E416" s="11">
        <f>VLOOKUP(B416,karyawan!B:D,3,FALSE)</f>
        <v>39000</v>
      </c>
      <c r="F416" s="11" t="str">
        <f>VLOOKUP(B416,karyawan!B:E,4,FALSE)</f>
        <v>Sherly</v>
      </c>
      <c r="G416" s="12">
        <v>4</v>
      </c>
      <c r="H416" s="40">
        <f>IFERROR(Inventory!$D116,"0")</f>
        <v>0</v>
      </c>
      <c r="I416" s="42">
        <f t="shared" si="20"/>
        <v>4</v>
      </c>
      <c r="J416" s="18"/>
      <c r="K416" s="14">
        <f t="shared" si="21"/>
        <v>0</v>
      </c>
      <c r="L416" s="13">
        <v>0</v>
      </c>
      <c r="M416" s="8"/>
      <c r="N416" s="8"/>
    </row>
    <row r="417" spans="1:14" x14ac:dyDescent="0.3">
      <c r="A417" s="16">
        <v>46155</v>
      </c>
      <c r="B417" s="10" t="s">
        <v>22</v>
      </c>
      <c r="C417" s="13">
        <v>8</v>
      </c>
      <c r="D417" s="11">
        <f>VLOOKUP(B417,[1]lantai9!$B:$G,6,FALSE)</f>
        <v>2500</v>
      </c>
      <c r="E417" s="11">
        <f>VLOOKUP(B417,karyawan!B:D,3,FALSE)</f>
        <v>1480</v>
      </c>
      <c r="F417" s="11" t="str">
        <f>VLOOKUP(B417,karyawan!B:E,4,FALSE)</f>
        <v>Compliance</v>
      </c>
      <c r="G417" s="12">
        <v>12</v>
      </c>
      <c r="H417" s="40">
        <f>IFERROR(Inventory!$D117,"0")</f>
        <v>0</v>
      </c>
      <c r="I417" s="42">
        <f t="shared" si="20"/>
        <v>1</v>
      </c>
      <c r="J417" s="18"/>
      <c r="K417" s="14">
        <f t="shared" si="21"/>
        <v>0</v>
      </c>
      <c r="L417" s="13">
        <v>0</v>
      </c>
      <c r="M417" s="8"/>
      <c r="N417" s="8"/>
    </row>
    <row r="418" spans="1:14" x14ac:dyDescent="0.3">
      <c r="A418" s="16">
        <v>46155</v>
      </c>
      <c r="B418" s="10" t="s">
        <v>23</v>
      </c>
      <c r="C418" s="13">
        <v>8</v>
      </c>
      <c r="D418" s="11">
        <f>VLOOKUP(B418,[1]lantai9!$B:$G,6,FALSE)</f>
        <v>2000</v>
      </c>
      <c r="E418" s="11">
        <f>VLOOKUP(B418,karyawan!B:D,3,FALSE)</f>
        <v>1074</v>
      </c>
      <c r="F418" s="11" t="str">
        <f>VLOOKUP(B418,karyawan!B:E,4,FALSE)</f>
        <v>Compliance</v>
      </c>
      <c r="G418" s="12">
        <v>10</v>
      </c>
      <c r="H418" s="40">
        <f>IFERROR(Inventory!$D118,"0")</f>
        <v>0</v>
      </c>
      <c r="I418" s="42">
        <f t="shared" ref="I418:I448" si="22">K355+L355</f>
        <v>10</v>
      </c>
      <c r="J418" s="18"/>
      <c r="K418" s="14">
        <f t="shared" si="21"/>
        <v>0</v>
      </c>
      <c r="L418" s="13">
        <v>0</v>
      </c>
      <c r="M418" s="8"/>
      <c r="N418" s="8"/>
    </row>
    <row r="419" spans="1:14" x14ac:dyDescent="0.3">
      <c r="A419" s="16">
        <v>46155</v>
      </c>
      <c r="B419" s="10" t="s">
        <v>24</v>
      </c>
      <c r="C419" s="13">
        <v>8</v>
      </c>
      <c r="D419" s="11">
        <f>VLOOKUP(B419,[1]lantai9!$B:$G,6,FALSE)</f>
        <v>2500</v>
      </c>
      <c r="E419" s="11">
        <f>VLOOKUP(B419,karyawan!B:D,3,FALSE)</f>
        <v>1465</v>
      </c>
      <c r="F419" s="11" t="str">
        <f>VLOOKUP(B419,karyawan!B:E,4,FALSE)</f>
        <v>Compliance</v>
      </c>
      <c r="G419" s="12">
        <v>10</v>
      </c>
      <c r="H419" s="40">
        <f>IFERROR(Inventory!$D119,"0")</f>
        <v>0</v>
      </c>
      <c r="I419" s="42">
        <f t="shared" si="22"/>
        <v>10</v>
      </c>
      <c r="J419" s="18"/>
      <c r="K419" s="14">
        <f t="shared" ref="K419:K448" si="23">IF(H419&gt;MAX(G419-L419,0),MAX(G419-L419,0),H419)</f>
        <v>0</v>
      </c>
      <c r="L419" s="13">
        <v>0</v>
      </c>
      <c r="M419" s="8"/>
      <c r="N419" s="8"/>
    </row>
    <row r="420" spans="1:14" x14ac:dyDescent="0.3">
      <c r="A420" s="16">
        <v>46155</v>
      </c>
      <c r="B420" s="10" t="s">
        <v>25</v>
      </c>
      <c r="C420" s="13">
        <v>8</v>
      </c>
      <c r="D420" s="11">
        <f>VLOOKUP(B420,[1]lantai9!$B:$G,6,FALSE)</f>
        <v>10000</v>
      </c>
      <c r="E420" s="11">
        <f>VLOOKUP(B420,karyawan!B:D,3,FALSE)</f>
        <v>9200</v>
      </c>
      <c r="F420" s="11" t="str">
        <f>VLOOKUP(B420,karyawan!B:E,4,FALSE)</f>
        <v>Compliance</v>
      </c>
      <c r="G420" s="12">
        <v>15</v>
      </c>
      <c r="H420" s="40">
        <f>IFERROR(Inventory!$D120,"0")</f>
        <v>0</v>
      </c>
      <c r="I420" s="42">
        <f t="shared" si="22"/>
        <v>11</v>
      </c>
      <c r="J420" s="18"/>
      <c r="K420" s="14">
        <f t="shared" si="23"/>
        <v>0</v>
      </c>
      <c r="L420" s="13">
        <v>0</v>
      </c>
      <c r="M420" s="8"/>
      <c r="N420" s="8"/>
    </row>
    <row r="421" spans="1:14" x14ac:dyDescent="0.3">
      <c r="A421" s="16">
        <v>46155</v>
      </c>
      <c r="B421" s="10" t="s">
        <v>26</v>
      </c>
      <c r="C421" s="13">
        <v>8</v>
      </c>
      <c r="D421" s="11">
        <f>VLOOKUP(B421,[1]lantai9!$B:$G,6,FALSE)</f>
        <v>15000</v>
      </c>
      <c r="E421" s="11">
        <f>VLOOKUP(B421,karyawan!B:D,3,FALSE)</f>
        <v>13807</v>
      </c>
      <c r="F421" s="11" t="str">
        <f>VLOOKUP(B421,karyawan!B:E,4,FALSE)</f>
        <v>Compliance</v>
      </c>
      <c r="G421" s="12">
        <v>10</v>
      </c>
      <c r="H421" s="40">
        <f>IFERROR(Inventory!$D121,"0")</f>
        <v>0</v>
      </c>
      <c r="I421" s="42">
        <f t="shared" si="22"/>
        <v>10</v>
      </c>
      <c r="J421" s="18"/>
      <c r="K421" s="14">
        <f t="shared" si="23"/>
        <v>0</v>
      </c>
      <c r="L421" s="13">
        <v>0</v>
      </c>
      <c r="M421" s="8"/>
      <c r="N421" s="8"/>
    </row>
    <row r="422" spans="1:14" x14ac:dyDescent="0.3">
      <c r="A422" s="16">
        <v>46155</v>
      </c>
      <c r="B422" s="10" t="s">
        <v>27</v>
      </c>
      <c r="C422" s="13">
        <v>8</v>
      </c>
      <c r="D422" s="11">
        <f>VLOOKUP(B422,[1]lantai9!$B:$G,6,FALSE)</f>
        <v>23000</v>
      </c>
      <c r="E422" s="11">
        <f>VLOOKUP(B422,karyawan!B:D,3,FALSE)</f>
        <v>21760</v>
      </c>
      <c r="F422" s="11" t="str">
        <f>VLOOKUP(B422,karyawan!B:E,4,FALSE)</f>
        <v>Compliance</v>
      </c>
      <c r="G422" s="12">
        <v>7</v>
      </c>
      <c r="H422" s="40">
        <f>IFERROR(Inventory!$D122,"0")</f>
        <v>0</v>
      </c>
      <c r="I422" s="42">
        <f t="shared" si="22"/>
        <v>6</v>
      </c>
      <c r="J422" s="18"/>
      <c r="K422" s="14">
        <f t="shared" si="23"/>
        <v>0</v>
      </c>
      <c r="L422" s="13">
        <v>0</v>
      </c>
      <c r="M422" s="8"/>
      <c r="N422" s="8"/>
    </row>
    <row r="423" spans="1:14" x14ac:dyDescent="0.3">
      <c r="A423" s="16">
        <v>46155</v>
      </c>
      <c r="B423" s="17" t="s">
        <v>28</v>
      </c>
      <c r="C423" s="13">
        <v>8</v>
      </c>
      <c r="D423" s="11">
        <f>VLOOKUP(B423,[1]lantai9!$B:$G,6,FALSE)</f>
        <v>11000</v>
      </c>
      <c r="E423" s="11">
        <f>VLOOKUP(B423,karyawan!B:D,3,FALSE)</f>
        <v>10000</v>
      </c>
      <c r="F423" s="11" t="str">
        <f>VLOOKUP(B423,karyawan!B:E,4,FALSE)</f>
        <v>Compliance</v>
      </c>
      <c r="G423" s="12">
        <v>8</v>
      </c>
      <c r="H423" s="40">
        <f>IFERROR(Inventory!$D123,"0")</f>
        <v>0</v>
      </c>
      <c r="I423" s="42">
        <f t="shared" si="22"/>
        <v>8</v>
      </c>
      <c r="J423" s="18"/>
      <c r="K423" s="14">
        <f t="shared" si="23"/>
        <v>0</v>
      </c>
      <c r="L423" s="13">
        <v>0</v>
      </c>
      <c r="M423" s="8"/>
      <c r="N423" s="8"/>
    </row>
    <row r="424" spans="1:14" x14ac:dyDescent="0.3">
      <c r="A424" s="16">
        <v>46155</v>
      </c>
      <c r="B424" s="17" t="s">
        <v>29</v>
      </c>
      <c r="C424" s="13">
        <v>8</v>
      </c>
      <c r="D424" s="11">
        <f>VLOOKUP(B424,[1]lantai9!$B:$G,6,FALSE)</f>
        <v>14500</v>
      </c>
      <c r="E424" s="11">
        <f>VLOOKUP(B424,karyawan!B:D,3,FALSE)</f>
        <v>13500</v>
      </c>
      <c r="F424" s="11" t="str">
        <f>VLOOKUP(B424,karyawan!B:E,4,FALSE)</f>
        <v>Compliance</v>
      </c>
      <c r="G424" s="12">
        <v>6</v>
      </c>
      <c r="H424" s="40">
        <f>IFERROR(Inventory!$D124,"0")</f>
        <v>0</v>
      </c>
      <c r="I424" s="42">
        <f t="shared" si="22"/>
        <v>4</v>
      </c>
      <c r="J424" s="18"/>
      <c r="K424" s="14">
        <f t="shared" si="23"/>
        <v>0</v>
      </c>
      <c r="L424" s="13">
        <v>0</v>
      </c>
      <c r="M424" s="8"/>
      <c r="N424" s="8"/>
    </row>
    <row r="425" spans="1:14" x14ac:dyDescent="0.3">
      <c r="A425" s="16">
        <v>46155</v>
      </c>
      <c r="B425" s="17" t="s">
        <v>30</v>
      </c>
      <c r="C425" s="13">
        <v>8</v>
      </c>
      <c r="D425" s="11">
        <f>VLOOKUP(B425,[1]lantai9!$B:$G,6,FALSE)</f>
        <v>3500</v>
      </c>
      <c r="E425" s="11">
        <f>VLOOKUP(B425,karyawan!B:D,3,FALSE)</f>
        <v>2500</v>
      </c>
      <c r="F425" s="11" t="str">
        <f>VLOOKUP(B425,karyawan!B:E,4,FALSE)</f>
        <v>Compliance</v>
      </c>
      <c r="G425" s="12">
        <v>20</v>
      </c>
      <c r="H425" s="40">
        <f>IFERROR(Inventory!$D125,"0")</f>
        <v>0</v>
      </c>
      <c r="I425" s="42">
        <f t="shared" si="22"/>
        <v>16</v>
      </c>
      <c r="J425" s="18"/>
      <c r="K425" s="14">
        <f t="shared" si="23"/>
        <v>0</v>
      </c>
      <c r="L425" s="13">
        <v>0</v>
      </c>
      <c r="M425" s="8"/>
      <c r="N425" s="8"/>
    </row>
    <row r="426" spans="1:14" x14ac:dyDescent="0.3">
      <c r="A426" s="16">
        <v>46155</v>
      </c>
      <c r="B426" s="17" t="s">
        <v>34</v>
      </c>
      <c r="C426" s="13">
        <v>8</v>
      </c>
      <c r="D426" s="11">
        <f>VLOOKUP(B426,[1]lantai9!$B:$G,6,FALSE)</f>
        <v>5500</v>
      </c>
      <c r="E426" s="11">
        <f>VLOOKUP(B426,karyawan!B:D,3,FALSE)</f>
        <v>4500</v>
      </c>
      <c r="F426" s="11" t="str">
        <f>VLOOKUP(B426,karyawan!B:E,4,FALSE)</f>
        <v>Compliance</v>
      </c>
      <c r="G426" s="12">
        <v>8</v>
      </c>
      <c r="H426" s="40">
        <f>IFERROR(Inventory!$D126,"0")</f>
        <v>0</v>
      </c>
      <c r="I426" s="42">
        <f t="shared" si="22"/>
        <v>8</v>
      </c>
      <c r="J426" s="18"/>
      <c r="K426" s="14">
        <f t="shared" si="23"/>
        <v>0</v>
      </c>
      <c r="L426" s="13">
        <v>0</v>
      </c>
      <c r="M426" s="8"/>
      <c r="N426" s="8"/>
    </row>
    <row r="427" spans="1:14" x14ac:dyDescent="0.3">
      <c r="A427" s="16">
        <v>46155</v>
      </c>
      <c r="B427" s="17" t="s">
        <v>35</v>
      </c>
      <c r="C427" s="13">
        <v>8</v>
      </c>
      <c r="D427" s="11">
        <f>VLOOKUP(B427,[1]lantai9!$B:$G,6,FALSE)</f>
        <v>9000</v>
      </c>
      <c r="E427" s="11">
        <f>VLOOKUP(B427,karyawan!B:D,3,FALSE)</f>
        <v>8000</v>
      </c>
      <c r="F427" s="11" t="str">
        <f>VLOOKUP(B427,karyawan!B:E,4,FALSE)</f>
        <v>Compliance</v>
      </c>
      <c r="G427" s="12">
        <v>3</v>
      </c>
      <c r="H427" s="40">
        <f>IFERROR(Inventory!$D127,"0")</f>
        <v>0</v>
      </c>
      <c r="I427" s="42">
        <f t="shared" si="22"/>
        <v>1</v>
      </c>
      <c r="J427" s="18"/>
      <c r="K427" s="14">
        <f t="shared" si="23"/>
        <v>0</v>
      </c>
      <c r="L427" s="13">
        <v>0</v>
      </c>
      <c r="M427" s="8"/>
      <c r="N427" s="8"/>
    </row>
    <row r="428" spans="1:14" x14ac:dyDescent="0.3">
      <c r="A428" s="16">
        <v>46155</v>
      </c>
      <c r="B428" s="10" t="s">
        <v>12</v>
      </c>
      <c r="C428" s="13">
        <v>9</v>
      </c>
      <c r="D428" s="11">
        <f>VLOOKUP(B428,[1]lantai9!$B:$G,6,FALSE)</f>
        <v>35000</v>
      </c>
      <c r="E428" s="11">
        <f>VLOOKUP(B428,karyawan!B:D,3,FALSE)</f>
        <v>34000</v>
      </c>
      <c r="F428" s="11" t="str">
        <f>VLOOKUP(B428,karyawan!B:E,4,FALSE)</f>
        <v>Florida</v>
      </c>
      <c r="G428" s="12">
        <v>5</v>
      </c>
      <c r="H428" s="40">
        <f>IFERROR(Inventory!$D128,"0")</f>
        <v>0</v>
      </c>
      <c r="I428" s="42">
        <f t="shared" si="22"/>
        <v>3</v>
      </c>
      <c r="J428" s="18"/>
      <c r="K428" s="14">
        <f t="shared" si="23"/>
        <v>0</v>
      </c>
      <c r="L428" s="13">
        <v>0</v>
      </c>
      <c r="M428" s="8"/>
      <c r="N428" s="8"/>
    </row>
    <row r="429" spans="1:14" x14ac:dyDescent="0.3">
      <c r="A429" s="16">
        <v>46155</v>
      </c>
      <c r="B429" s="10" t="s">
        <v>13</v>
      </c>
      <c r="C429" s="13">
        <v>9</v>
      </c>
      <c r="D429" s="11">
        <f>VLOOKUP(B429,[1]lantai9!$B:$G,6,FALSE)</f>
        <v>23000</v>
      </c>
      <c r="E429" s="11">
        <f>VLOOKUP(B429,karyawan!B:D,3,FALSE)</f>
        <v>22000</v>
      </c>
      <c r="F429" s="11" t="str">
        <f>VLOOKUP(B429,karyawan!B:E,4,FALSE)</f>
        <v>Yohannes</v>
      </c>
      <c r="G429" s="12">
        <v>6</v>
      </c>
      <c r="H429" s="40">
        <f>IFERROR(Inventory!$D129,"0")</f>
        <v>0</v>
      </c>
      <c r="I429" s="42">
        <f t="shared" si="22"/>
        <v>6</v>
      </c>
      <c r="J429" s="18"/>
      <c r="K429" s="14">
        <f t="shared" si="23"/>
        <v>0</v>
      </c>
      <c r="L429" s="13">
        <v>0</v>
      </c>
      <c r="M429" s="8"/>
      <c r="N429" s="8"/>
    </row>
    <row r="430" spans="1:14" x14ac:dyDescent="0.3">
      <c r="A430" s="16">
        <v>46155</v>
      </c>
      <c r="B430" s="10" t="s">
        <v>14</v>
      </c>
      <c r="C430" s="13">
        <v>9</v>
      </c>
      <c r="D430" s="11">
        <f>VLOOKUP(B430,[1]lantai9!$B:$G,6,FALSE)</f>
        <v>21000</v>
      </c>
      <c r="E430" s="11">
        <f>VLOOKUP(B430,karyawan!B:D,3,FALSE)</f>
        <v>20000</v>
      </c>
      <c r="F430" s="11" t="str">
        <f>VLOOKUP(B430,karyawan!B:E,4,FALSE)</f>
        <v>Damaz</v>
      </c>
      <c r="G430" s="12">
        <v>2</v>
      </c>
      <c r="H430" s="40">
        <f>IFERROR(Inventory!$D130,"0")</f>
        <v>0</v>
      </c>
      <c r="I430" s="42">
        <f t="shared" si="22"/>
        <v>0</v>
      </c>
      <c r="J430" s="18"/>
      <c r="K430" s="14">
        <f t="shared" si="23"/>
        <v>0</v>
      </c>
      <c r="L430" s="13">
        <v>0</v>
      </c>
      <c r="M430" s="8"/>
      <c r="N430" s="8"/>
    </row>
    <row r="431" spans="1:14" x14ac:dyDescent="0.3">
      <c r="A431" s="16">
        <v>46155</v>
      </c>
      <c r="B431" s="10" t="s">
        <v>15</v>
      </c>
      <c r="C431" s="13">
        <v>9</v>
      </c>
      <c r="D431" s="11">
        <f>VLOOKUP(B431,[1]lantai9!$B:$G,6,FALSE)</f>
        <v>36000</v>
      </c>
      <c r="E431" s="11">
        <f>VLOOKUP(B431,karyawan!B:D,3,FALSE)</f>
        <v>35000</v>
      </c>
      <c r="F431" s="11" t="str">
        <f>VLOOKUP(B431,karyawan!B:E,4,FALSE)</f>
        <v>Damaz</v>
      </c>
      <c r="G431" s="12">
        <v>3</v>
      </c>
      <c r="H431" s="40">
        <f>IFERROR(Inventory!$D131,"0")</f>
        <v>0</v>
      </c>
      <c r="I431" s="42">
        <f t="shared" si="22"/>
        <v>0</v>
      </c>
      <c r="J431" s="18"/>
      <c r="K431" s="14">
        <f t="shared" si="23"/>
        <v>0</v>
      </c>
      <c r="L431" s="13">
        <v>0</v>
      </c>
      <c r="M431" s="8"/>
      <c r="N431" s="8"/>
    </row>
    <row r="432" spans="1:14" x14ac:dyDescent="0.3">
      <c r="A432" s="16">
        <v>46155</v>
      </c>
      <c r="B432" s="10" t="s">
        <v>16</v>
      </c>
      <c r="C432" s="13">
        <v>9</v>
      </c>
      <c r="D432" s="11">
        <f>VLOOKUP(B432,[1]lantai9!$B:$G,6,FALSE)</f>
        <v>23000</v>
      </c>
      <c r="E432" s="11">
        <f>VLOOKUP(B432,karyawan!B:D,3,FALSE)</f>
        <v>22000</v>
      </c>
      <c r="F432" s="11" t="str">
        <f>VLOOKUP(B432,karyawan!B:E,4,FALSE)</f>
        <v>Vale</v>
      </c>
      <c r="G432" s="12">
        <v>5</v>
      </c>
      <c r="H432" s="40">
        <f>IFERROR(Inventory!$D132,"0")</f>
        <v>0</v>
      </c>
      <c r="I432" s="42">
        <f t="shared" si="22"/>
        <v>2</v>
      </c>
      <c r="J432" s="18"/>
      <c r="K432" s="14">
        <f t="shared" si="23"/>
        <v>0</v>
      </c>
      <c r="L432" s="13">
        <v>0</v>
      </c>
      <c r="M432" s="8"/>
      <c r="N432" s="8"/>
    </row>
    <row r="433" spans="1:14" x14ac:dyDescent="0.3">
      <c r="A433" s="16">
        <v>46155</v>
      </c>
      <c r="B433" s="10" t="s">
        <v>17</v>
      </c>
      <c r="C433" s="13">
        <v>9</v>
      </c>
      <c r="D433" s="11">
        <f>VLOOKUP(B433,[1]lantai9!$B:$G,6,FALSE)</f>
        <v>15000</v>
      </c>
      <c r="E433" s="11">
        <f>VLOOKUP(B433,karyawan!B:D,3,FALSE)</f>
        <v>14000</v>
      </c>
      <c r="F433" s="11" t="str">
        <f>VLOOKUP(B433,karyawan!B:E,4,FALSE)</f>
        <v>Desy</v>
      </c>
      <c r="G433" s="12">
        <v>6</v>
      </c>
      <c r="H433" s="40">
        <f>IFERROR(Inventory!$D133,"0")</f>
        <v>0</v>
      </c>
      <c r="I433" s="42">
        <f t="shared" si="22"/>
        <v>6</v>
      </c>
      <c r="J433" s="18"/>
      <c r="K433" s="14">
        <f t="shared" si="23"/>
        <v>0</v>
      </c>
      <c r="L433" s="13">
        <v>0</v>
      </c>
      <c r="M433" s="8"/>
      <c r="N433" s="8"/>
    </row>
    <row r="434" spans="1:14" x14ac:dyDescent="0.3">
      <c r="A434" s="16">
        <v>46155</v>
      </c>
      <c r="B434" s="10" t="s">
        <v>31</v>
      </c>
      <c r="C434" s="13">
        <v>9</v>
      </c>
      <c r="D434" s="11">
        <f>VLOOKUP(B434,[1]lantai9!$B:$G,6,FALSE)</f>
        <v>18000</v>
      </c>
      <c r="E434" s="11">
        <f>VLOOKUP(B434,karyawan!B:D,3,FALSE)</f>
        <v>17000</v>
      </c>
      <c r="F434" s="11" t="str">
        <f>VLOOKUP(B434,karyawan!B:E,4,FALSE)</f>
        <v>Geby</v>
      </c>
      <c r="G434" s="12">
        <v>4</v>
      </c>
      <c r="H434" s="40">
        <f>IFERROR(Inventory!$D134,"0")</f>
        <v>0</v>
      </c>
      <c r="I434" s="42">
        <f t="shared" si="22"/>
        <v>0</v>
      </c>
      <c r="J434" s="18"/>
      <c r="K434" s="14">
        <f t="shared" si="23"/>
        <v>0</v>
      </c>
      <c r="L434" s="13">
        <v>0</v>
      </c>
      <c r="M434" s="8"/>
      <c r="N434" s="8"/>
    </row>
    <row r="435" spans="1:14" x14ac:dyDescent="0.3">
      <c r="A435" s="16">
        <v>46155</v>
      </c>
      <c r="B435" s="10" t="s">
        <v>32</v>
      </c>
      <c r="C435" s="13">
        <v>9</v>
      </c>
      <c r="D435" s="11">
        <f>VLOOKUP(B435,[1]lantai9!$B:$G,6,FALSE)</f>
        <v>21000</v>
      </c>
      <c r="E435" s="11">
        <f>VLOOKUP(B435,karyawan!B:D,3,FALSE)</f>
        <v>20000</v>
      </c>
      <c r="F435" s="11" t="str">
        <f>VLOOKUP(B435,karyawan!B:E,4,FALSE)</f>
        <v>Geby</v>
      </c>
      <c r="G435" s="12">
        <v>3</v>
      </c>
      <c r="H435" s="40">
        <f>IFERROR(Inventory!$D135,"0")</f>
        <v>0</v>
      </c>
      <c r="I435" s="42">
        <f t="shared" si="22"/>
        <v>2</v>
      </c>
      <c r="J435" s="18"/>
      <c r="K435" s="14">
        <f t="shared" si="23"/>
        <v>0</v>
      </c>
      <c r="L435" s="13">
        <v>0</v>
      </c>
      <c r="M435" s="8"/>
      <c r="N435" s="8"/>
    </row>
    <row r="436" spans="1:14" x14ac:dyDescent="0.3">
      <c r="A436" s="16">
        <v>46155</v>
      </c>
      <c r="B436" s="10" t="s">
        <v>33</v>
      </c>
      <c r="C436" s="13">
        <v>9</v>
      </c>
      <c r="D436" s="11">
        <f>VLOOKUP(B436,[1]lantai9!$B:$G,6,FALSE)</f>
        <v>35000</v>
      </c>
      <c r="E436" s="11">
        <f>VLOOKUP(B436,karyawan!B:D,3,FALSE)</f>
        <v>34000</v>
      </c>
      <c r="F436" s="11" t="str">
        <f>VLOOKUP(B436,karyawan!B:E,4,FALSE)</f>
        <v>Sherly</v>
      </c>
      <c r="G436" s="12">
        <v>2</v>
      </c>
      <c r="H436" s="40">
        <f>IFERROR(Inventory!$D136,"0")</f>
        <v>0</v>
      </c>
      <c r="I436" s="42">
        <f t="shared" si="22"/>
        <v>2</v>
      </c>
      <c r="J436" s="18"/>
      <c r="K436" s="14">
        <f t="shared" si="23"/>
        <v>0</v>
      </c>
      <c r="L436" s="13">
        <v>0</v>
      </c>
      <c r="M436" s="8"/>
      <c r="N436" s="8"/>
    </row>
    <row r="437" spans="1:14" x14ac:dyDescent="0.3">
      <c r="A437" s="16">
        <v>46155</v>
      </c>
      <c r="B437" s="10" t="s">
        <v>21</v>
      </c>
      <c r="C437" s="13">
        <v>9</v>
      </c>
      <c r="D437" s="11">
        <f>VLOOKUP(B437,[1]lantai9!$B:$G,6,FALSE)</f>
        <v>40000</v>
      </c>
      <c r="E437" s="11">
        <f>VLOOKUP(B437,karyawan!B:D,3,FALSE)</f>
        <v>39000</v>
      </c>
      <c r="F437" s="11" t="str">
        <f>VLOOKUP(B437,karyawan!B:E,4,FALSE)</f>
        <v>Sherly</v>
      </c>
      <c r="G437" s="12">
        <v>4</v>
      </c>
      <c r="H437" s="40">
        <f>IFERROR(Inventory!$D137,"0")</f>
        <v>0</v>
      </c>
      <c r="I437" s="42">
        <f t="shared" si="22"/>
        <v>4</v>
      </c>
      <c r="J437" s="18"/>
      <c r="K437" s="14">
        <f t="shared" si="23"/>
        <v>0</v>
      </c>
      <c r="L437" s="13">
        <v>0</v>
      </c>
      <c r="M437" s="8"/>
      <c r="N437" s="8"/>
    </row>
    <row r="438" spans="1:14" x14ac:dyDescent="0.3">
      <c r="A438" s="16">
        <v>46155</v>
      </c>
      <c r="B438" s="10" t="s">
        <v>22</v>
      </c>
      <c r="C438" s="13">
        <v>9</v>
      </c>
      <c r="D438" s="11">
        <f>VLOOKUP(B438,[1]lantai9!$B:$G,6,FALSE)</f>
        <v>2500</v>
      </c>
      <c r="E438" s="11">
        <f>VLOOKUP(B438,karyawan!B:D,3,FALSE)</f>
        <v>1480</v>
      </c>
      <c r="F438" s="11" t="str">
        <f>VLOOKUP(B438,karyawan!B:E,4,FALSE)</f>
        <v>Compliance</v>
      </c>
      <c r="G438" s="12">
        <v>12</v>
      </c>
      <c r="H438" s="40">
        <f>IFERROR(Inventory!$D138,"0")</f>
        <v>0</v>
      </c>
      <c r="I438" s="42">
        <f t="shared" si="22"/>
        <v>1</v>
      </c>
      <c r="J438" s="18"/>
      <c r="K438" s="14">
        <f t="shared" si="23"/>
        <v>0</v>
      </c>
      <c r="L438" s="13">
        <v>0</v>
      </c>
      <c r="M438" s="8"/>
      <c r="N438" s="8"/>
    </row>
    <row r="439" spans="1:14" x14ac:dyDescent="0.3">
      <c r="A439" s="16">
        <v>46155</v>
      </c>
      <c r="B439" s="10" t="s">
        <v>23</v>
      </c>
      <c r="C439" s="13">
        <v>9</v>
      </c>
      <c r="D439" s="11">
        <f>VLOOKUP(B439,[1]lantai9!$B:$G,6,FALSE)</f>
        <v>2000</v>
      </c>
      <c r="E439" s="11">
        <f>VLOOKUP(B439,karyawan!B:D,3,FALSE)</f>
        <v>1074</v>
      </c>
      <c r="F439" s="11" t="str">
        <f>VLOOKUP(B439,karyawan!B:E,4,FALSE)</f>
        <v>Compliance</v>
      </c>
      <c r="G439" s="12">
        <v>10</v>
      </c>
      <c r="H439" s="40">
        <f>IFERROR(Inventory!$D139,"0")</f>
        <v>0</v>
      </c>
      <c r="I439" s="42">
        <f t="shared" si="22"/>
        <v>10</v>
      </c>
      <c r="J439" s="18"/>
      <c r="K439" s="14">
        <f t="shared" si="23"/>
        <v>0</v>
      </c>
      <c r="L439" s="13">
        <v>0</v>
      </c>
      <c r="M439" s="8"/>
      <c r="N439" s="8"/>
    </row>
    <row r="440" spans="1:14" x14ac:dyDescent="0.3">
      <c r="A440" s="16">
        <v>46155</v>
      </c>
      <c r="B440" s="10" t="s">
        <v>24</v>
      </c>
      <c r="C440" s="13">
        <v>9</v>
      </c>
      <c r="D440" s="11">
        <f>VLOOKUP(B440,[1]lantai9!$B:$G,6,FALSE)</f>
        <v>2500</v>
      </c>
      <c r="E440" s="11">
        <f>VLOOKUP(B440,karyawan!B:D,3,FALSE)</f>
        <v>1465</v>
      </c>
      <c r="F440" s="11" t="str">
        <f>VLOOKUP(B440,karyawan!B:E,4,FALSE)</f>
        <v>Compliance</v>
      </c>
      <c r="G440" s="12">
        <v>10</v>
      </c>
      <c r="H440" s="40">
        <f>IFERROR(Inventory!$D140,"0")</f>
        <v>0</v>
      </c>
      <c r="I440" s="42">
        <f t="shared" si="22"/>
        <v>10</v>
      </c>
      <c r="J440" s="18"/>
      <c r="K440" s="14">
        <f t="shared" si="23"/>
        <v>0</v>
      </c>
      <c r="L440" s="13">
        <v>0</v>
      </c>
      <c r="M440" s="8"/>
      <c r="N440" s="8"/>
    </row>
    <row r="441" spans="1:14" x14ac:dyDescent="0.3">
      <c r="A441" s="16">
        <v>46155</v>
      </c>
      <c r="B441" s="10" t="s">
        <v>25</v>
      </c>
      <c r="C441" s="13">
        <v>9</v>
      </c>
      <c r="D441" s="11">
        <f>VLOOKUP(B441,[1]lantai9!$B:$G,6,FALSE)</f>
        <v>10000</v>
      </c>
      <c r="E441" s="11">
        <f>VLOOKUP(B441,karyawan!B:D,3,FALSE)</f>
        <v>9200</v>
      </c>
      <c r="F441" s="11" t="str">
        <f>VLOOKUP(B441,karyawan!B:E,4,FALSE)</f>
        <v>Compliance</v>
      </c>
      <c r="G441" s="12">
        <v>15</v>
      </c>
      <c r="H441" s="40">
        <f>IFERROR(Inventory!$D141,"0")</f>
        <v>0</v>
      </c>
      <c r="I441" s="42">
        <f t="shared" si="22"/>
        <v>15</v>
      </c>
      <c r="J441" s="18"/>
      <c r="K441" s="14">
        <f t="shared" si="23"/>
        <v>0</v>
      </c>
      <c r="L441" s="13">
        <v>0</v>
      </c>
      <c r="M441" s="8"/>
      <c r="N441" s="8"/>
    </row>
    <row r="442" spans="1:14" x14ac:dyDescent="0.3">
      <c r="A442" s="16">
        <v>46155</v>
      </c>
      <c r="B442" s="10" t="s">
        <v>26</v>
      </c>
      <c r="C442" s="13">
        <v>9</v>
      </c>
      <c r="D442" s="11">
        <f>VLOOKUP(B442,[1]lantai9!$B:$G,6,FALSE)</f>
        <v>15000</v>
      </c>
      <c r="E442" s="11">
        <f>VLOOKUP(B442,karyawan!B:D,3,FALSE)</f>
        <v>13807</v>
      </c>
      <c r="F442" s="11" t="str">
        <f>VLOOKUP(B442,karyawan!B:E,4,FALSE)</f>
        <v>Compliance</v>
      </c>
      <c r="G442" s="12">
        <v>10</v>
      </c>
      <c r="H442" s="40">
        <f>IFERROR(Inventory!$D142,"0")</f>
        <v>0</v>
      </c>
      <c r="I442" s="42">
        <f t="shared" si="22"/>
        <v>6</v>
      </c>
      <c r="J442" s="18"/>
      <c r="K442" s="14">
        <f t="shared" si="23"/>
        <v>0</v>
      </c>
      <c r="L442" s="13">
        <v>0</v>
      </c>
      <c r="M442" s="8"/>
      <c r="N442" s="8"/>
    </row>
    <row r="443" spans="1:14" x14ac:dyDescent="0.3">
      <c r="A443" s="16">
        <v>46155</v>
      </c>
      <c r="B443" s="10" t="s">
        <v>27</v>
      </c>
      <c r="C443" s="13">
        <v>9</v>
      </c>
      <c r="D443" s="11">
        <f>VLOOKUP(B443,[1]lantai9!$B:$G,6,FALSE)</f>
        <v>23000</v>
      </c>
      <c r="E443" s="11">
        <f>VLOOKUP(B443,karyawan!B:D,3,FALSE)</f>
        <v>21760</v>
      </c>
      <c r="F443" s="11" t="str">
        <f>VLOOKUP(B443,karyawan!B:E,4,FALSE)</f>
        <v>Compliance</v>
      </c>
      <c r="G443" s="12">
        <v>7</v>
      </c>
      <c r="H443" s="40">
        <f>IFERROR(Inventory!$D143,"0")</f>
        <v>0</v>
      </c>
      <c r="I443" s="42">
        <f t="shared" si="22"/>
        <v>2</v>
      </c>
      <c r="J443" s="18"/>
      <c r="K443" s="14">
        <f t="shared" si="23"/>
        <v>0</v>
      </c>
      <c r="L443" s="13">
        <v>0</v>
      </c>
      <c r="M443" s="8"/>
      <c r="N443" s="8"/>
    </row>
    <row r="444" spans="1:14" x14ac:dyDescent="0.3">
      <c r="A444" s="16">
        <v>46155</v>
      </c>
      <c r="B444" s="17" t="s">
        <v>28</v>
      </c>
      <c r="C444" s="13">
        <v>9</v>
      </c>
      <c r="D444" s="11">
        <f>VLOOKUP(B444,[1]lantai9!$B:$G,6,FALSE)</f>
        <v>11000</v>
      </c>
      <c r="E444" s="11">
        <f>VLOOKUP(B444,karyawan!B:D,3,FALSE)</f>
        <v>10000</v>
      </c>
      <c r="F444" s="11" t="str">
        <f>VLOOKUP(B444,karyawan!B:E,4,FALSE)</f>
        <v>Compliance</v>
      </c>
      <c r="G444" s="12">
        <v>8</v>
      </c>
      <c r="H444" s="40">
        <f>IFERROR(Inventory!$D144,"0")</f>
        <v>0</v>
      </c>
      <c r="I444" s="42">
        <f t="shared" si="22"/>
        <v>8</v>
      </c>
      <c r="J444" s="18"/>
      <c r="K444" s="14">
        <f t="shared" si="23"/>
        <v>0</v>
      </c>
      <c r="L444" s="13">
        <v>0</v>
      </c>
      <c r="M444" s="8"/>
      <c r="N444" s="8"/>
    </row>
    <row r="445" spans="1:14" x14ac:dyDescent="0.3">
      <c r="A445" s="16">
        <v>46155</v>
      </c>
      <c r="B445" s="17" t="s">
        <v>29</v>
      </c>
      <c r="C445" s="13">
        <v>9</v>
      </c>
      <c r="D445" s="11">
        <f>VLOOKUP(B445,[1]lantai9!$B:$G,6,FALSE)</f>
        <v>14500</v>
      </c>
      <c r="E445" s="11">
        <f>VLOOKUP(B445,karyawan!B:D,3,FALSE)</f>
        <v>13500</v>
      </c>
      <c r="F445" s="11" t="str">
        <f>VLOOKUP(B445,karyawan!B:E,4,FALSE)</f>
        <v>Compliance</v>
      </c>
      <c r="G445" s="12">
        <v>6</v>
      </c>
      <c r="H445" s="40">
        <f>IFERROR(Inventory!$D145,"0")</f>
        <v>0</v>
      </c>
      <c r="I445" s="42">
        <f t="shared" si="22"/>
        <v>2</v>
      </c>
      <c r="J445" s="18"/>
      <c r="K445" s="14">
        <f t="shared" si="23"/>
        <v>0</v>
      </c>
      <c r="L445" s="13">
        <v>0</v>
      </c>
      <c r="M445" s="8"/>
      <c r="N445" s="8"/>
    </row>
    <row r="446" spans="1:14" x14ac:dyDescent="0.3">
      <c r="A446" s="16">
        <v>46155</v>
      </c>
      <c r="B446" s="17" t="s">
        <v>30</v>
      </c>
      <c r="C446" s="13">
        <v>9</v>
      </c>
      <c r="D446" s="11">
        <f>VLOOKUP(B446,[1]lantai9!$B:$G,6,FALSE)</f>
        <v>3500</v>
      </c>
      <c r="E446" s="11">
        <f>VLOOKUP(B446,karyawan!B:D,3,FALSE)</f>
        <v>2500</v>
      </c>
      <c r="F446" s="11" t="str">
        <f>VLOOKUP(B446,karyawan!B:E,4,FALSE)</f>
        <v>Compliance</v>
      </c>
      <c r="G446" s="12">
        <v>20</v>
      </c>
      <c r="H446" s="40">
        <f>IFERROR(Inventory!$D146,"0")</f>
        <v>0</v>
      </c>
      <c r="I446" s="42">
        <f t="shared" si="22"/>
        <v>15</v>
      </c>
      <c r="J446" s="18"/>
      <c r="K446" s="14">
        <f t="shared" si="23"/>
        <v>0</v>
      </c>
      <c r="L446" s="13">
        <v>0</v>
      </c>
      <c r="M446" s="8"/>
      <c r="N446" s="8"/>
    </row>
    <row r="447" spans="1:14" x14ac:dyDescent="0.3">
      <c r="A447" s="16">
        <v>46155</v>
      </c>
      <c r="B447" s="17" t="s">
        <v>34</v>
      </c>
      <c r="C447" s="13">
        <v>9</v>
      </c>
      <c r="D447" s="11">
        <f>VLOOKUP(B447,[1]lantai9!$B:$G,6,FALSE)</f>
        <v>5500</v>
      </c>
      <c r="E447" s="11">
        <f>VLOOKUP(B447,karyawan!B:D,3,FALSE)</f>
        <v>4500</v>
      </c>
      <c r="F447" s="11" t="str">
        <f>VLOOKUP(B447,karyawan!B:E,4,FALSE)</f>
        <v>Compliance</v>
      </c>
      <c r="G447" s="12">
        <v>8</v>
      </c>
      <c r="H447" s="40">
        <f>IFERROR(Inventory!$D147,"0")</f>
        <v>0</v>
      </c>
      <c r="I447" s="42">
        <f t="shared" si="22"/>
        <v>8</v>
      </c>
      <c r="J447" s="18"/>
      <c r="K447" s="14">
        <f t="shared" si="23"/>
        <v>0</v>
      </c>
      <c r="L447" s="13">
        <v>0</v>
      </c>
      <c r="M447" s="8"/>
      <c r="N447" s="8"/>
    </row>
    <row r="448" spans="1:14" x14ac:dyDescent="0.3">
      <c r="A448" s="16">
        <v>46155</v>
      </c>
      <c r="B448" s="17" t="s">
        <v>35</v>
      </c>
      <c r="C448" s="13">
        <v>9</v>
      </c>
      <c r="D448" s="11">
        <f>VLOOKUP(B448,[1]lantai9!$B:$G,6,FALSE)</f>
        <v>9000</v>
      </c>
      <c r="E448" s="11">
        <f>VLOOKUP(B448,karyawan!B:D,3,FALSE)</f>
        <v>8000</v>
      </c>
      <c r="F448" s="11" t="str">
        <f>VLOOKUP(B448,karyawan!B:E,4,FALSE)</f>
        <v>Compliance</v>
      </c>
      <c r="G448" s="12">
        <v>3</v>
      </c>
      <c r="H448" s="40">
        <f>IFERROR(Inventory!$D148,"0")</f>
        <v>0</v>
      </c>
      <c r="I448" s="42">
        <f t="shared" si="22"/>
        <v>0</v>
      </c>
      <c r="J448" s="18"/>
      <c r="K448" s="14">
        <f t="shared" si="23"/>
        <v>0</v>
      </c>
      <c r="L448" s="13">
        <v>0</v>
      </c>
      <c r="M448" s="8"/>
      <c r="N448" s="8"/>
    </row>
  </sheetData>
  <autoFilter ref="A1:N385" xr:uid="{B95951AB-A916-4397-AA75-837BDA15EBEB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D7299-0608-4950-8EF0-6B9ED1AF9A42}">
  <dimension ref="A1:E24"/>
  <sheetViews>
    <sheetView workbookViewId="0">
      <selection activeCell="E7" sqref="E7"/>
    </sheetView>
  </sheetViews>
  <sheetFormatPr defaultColWidth="32.5546875" defaultRowHeight="14.4" x14ac:dyDescent="0.3"/>
  <cols>
    <col min="2" max="2" width="32.5546875" style="44"/>
  </cols>
  <sheetData>
    <row r="1" spans="1:5" ht="27.6" customHeight="1" x14ac:dyDescent="0.3">
      <c r="A1" s="45" t="s">
        <v>48</v>
      </c>
      <c r="B1" s="46" t="s">
        <v>46</v>
      </c>
      <c r="C1" s="45" t="s">
        <v>3</v>
      </c>
      <c r="D1" s="45" t="s">
        <v>45</v>
      </c>
      <c r="E1" s="45" t="s">
        <v>49</v>
      </c>
    </row>
    <row r="2" spans="1:5" x14ac:dyDescent="0.3">
      <c r="A2" s="47">
        <v>1</v>
      </c>
      <c r="B2" s="48" t="s">
        <v>25</v>
      </c>
      <c r="C2" s="49">
        <v>10000</v>
      </c>
      <c r="D2" s="50">
        <v>9200</v>
      </c>
      <c r="E2" s="47" t="s">
        <v>53</v>
      </c>
    </row>
    <row r="3" spans="1:5" x14ac:dyDescent="0.3">
      <c r="A3" s="47">
        <v>2</v>
      </c>
      <c r="B3" s="48" t="s">
        <v>12</v>
      </c>
      <c r="C3" s="49">
        <v>35000</v>
      </c>
      <c r="D3" s="50">
        <v>34000</v>
      </c>
      <c r="E3" s="47" t="s">
        <v>50</v>
      </c>
    </row>
    <row r="4" spans="1:5" x14ac:dyDescent="0.3">
      <c r="A4" s="47">
        <v>3</v>
      </c>
      <c r="B4" s="48" t="s">
        <v>24</v>
      </c>
      <c r="C4" s="49">
        <v>2500</v>
      </c>
      <c r="D4" s="50">
        <v>1465</v>
      </c>
      <c r="E4" s="47" t="s">
        <v>53</v>
      </c>
    </row>
    <row r="5" spans="1:5" x14ac:dyDescent="0.3">
      <c r="A5" s="47">
        <v>4</v>
      </c>
      <c r="B5" s="48" t="s">
        <v>19</v>
      </c>
      <c r="C5" s="49">
        <v>21000</v>
      </c>
      <c r="D5" s="50">
        <v>20000</v>
      </c>
      <c r="E5" s="47" t="s">
        <v>51</v>
      </c>
    </row>
    <row r="6" spans="1:5" x14ac:dyDescent="0.3">
      <c r="A6" s="47">
        <v>5</v>
      </c>
      <c r="B6" s="48" t="s">
        <v>17</v>
      </c>
      <c r="C6" s="49">
        <v>15000</v>
      </c>
      <c r="D6" s="50">
        <v>14000</v>
      </c>
      <c r="E6" s="47" t="s">
        <v>52</v>
      </c>
    </row>
    <row r="7" spans="1:5" x14ac:dyDescent="0.3">
      <c r="A7" s="47">
        <v>6</v>
      </c>
      <c r="B7" s="48" t="s">
        <v>31</v>
      </c>
      <c r="C7" s="49">
        <v>18000</v>
      </c>
      <c r="D7" s="50">
        <v>17000</v>
      </c>
      <c r="E7" s="47" t="s">
        <v>51</v>
      </c>
    </row>
    <row r="8" spans="1:5" x14ac:dyDescent="0.3">
      <c r="A8" s="47">
        <v>7</v>
      </c>
      <c r="B8" s="48" t="s">
        <v>32</v>
      </c>
      <c r="C8" s="49">
        <v>21000</v>
      </c>
      <c r="D8" s="50">
        <v>20000</v>
      </c>
      <c r="E8" s="47" t="s">
        <v>51</v>
      </c>
    </row>
    <row r="9" spans="1:5" x14ac:dyDescent="0.3">
      <c r="A9" s="47">
        <v>8</v>
      </c>
      <c r="B9" s="48" t="s">
        <v>27</v>
      </c>
      <c r="C9" s="49">
        <v>23000</v>
      </c>
      <c r="D9" s="50">
        <v>21760</v>
      </c>
      <c r="E9" s="47" t="s">
        <v>53</v>
      </c>
    </row>
    <row r="10" spans="1:5" x14ac:dyDescent="0.3">
      <c r="A10" s="47">
        <v>9</v>
      </c>
      <c r="B10" s="48" t="s">
        <v>15</v>
      </c>
      <c r="C10" s="49">
        <v>36000</v>
      </c>
      <c r="D10" s="50">
        <v>35000</v>
      </c>
      <c r="E10" s="47" t="s">
        <v>54</v>
      </c>
    </row>
    <row r="11" spans="1:5" x14ac:dyDescent="0.3">
      <c r="A11" s="47">
        <v>10</v>
      </c>
      <c r="B11" s="48" t="s">
        <v>14</v>
      </c>
      <c r="C11" s="49">
        <v>21000</v>
      </c>
      <c r="D11" s="50">
        <v>20000</v>
      </c>
      <c r="E11" s="47" t="s">
        <v>54</v>
      </c>
    </row>
    <row r="12" spans="1:5" x14ac:dyDescent="0.3">
      <c r="A12" s="47">
        <v>11</v>
      </c>
      <c r="B12" s="48" t="s">
        <v>13</v>
      </c>
      <c r="C12" s="49">
        <v>23000</v>
      </c>
      <c r="D12" s="50">
        <v>22000</v>
      </c>
      <c r="E12" s="47" t="s">
        <v>55</v>
      </c>
    </row>
    <row r="13" spans="1:5" x14ac:dyDescent="0.3">
      <c r="A13" s="47">
        <v>12</v>
      </c>
      <c r="B13" s="48" t="s">
        <v>16</v>
      </c>
      <c r="C13" s="49">
        <v>23000</v>
      </c>
      <c r="D13" s="50">
        <v>22000</v>
      </c>
      <c r="E13" s="47" t="s">
        <v>56</v>
      </c>
    </row>
    <row r="14" spans="1:5" x14ac:dyDescent="0.3">
      <c r="A14" s="47">
        <v>13</v>
      </c>
      <c r="B14" s="48" t="s">
        <v>30</v>
      </c>
      <c r="C14" s="49">
        <v>3500</v>
      </c>
      <c r="D14" s="50">
        <v>2500</v>
      </c>
      <c r="E14" s="47" t="s">
        <v>53</v>
      </c>
    </row>
    <row r="15" spans="1:5" x14ac:dyDescent="0.3">
      <c r="A15" s="47">
        <v>14</v>
      </c>
      <c r="B15" s="48" t="s">
        <v>18</v>
      </c>
      <c r="C15" s="49">
        <v>18000</v>
      </c>
      <c r="D15" s="50">
        <v>17000</v>
      </c>
      <c r="E15" s="47" t="s">
        <v>51</v>
      </c>
    </row>
    <row r="16" spans="1:5" x14ac:dyDescent="0.3">
      <c r="A16" s="47">
        <v>15</v>
      </c>
      <c r="B16" s="48" t="s">
        <v>23</v>
      </c>
      <c r="C16" s="49">
        <v>2000</v>
      </c>
      <c r="D16" s="50">
        <v>1074</v>
      </c>
      <c r="E16" s="47" t="s">
        <v>53</v>
      </c>
    </row>
    <row r="17" spans="1:5" x14ac:dyDescent="0.3">
      <c r="A17" s="47">
        <v>16</v>
      </c>
      <c r="B17" s="48" t="s">
        <v>26</v>
      </c>
      <c r="C17" s="49">
        <v>15000</v>
      </c>
      <c r="D17" s="50">
        <v>13807</v>
      </c>
      <c r="E17" s="47" t="s">
        <v>53</v>
      </c>
    </row>
    <row r="18" spans="1:5" x14ac:dyDescent="0.3">
      <c r="A18" s="47">
        <v>17</v>
      </c>
      <c r="B18" s="48" t="s">
        <v>22</v>
      </c>
      <c r="C18" s="49">
        <v>2500</v>
      </c>
      <c r="D18" s="50">
        <v>1480</v>
      </c>
      <c r="E18" s="47" t="s">
        <v>53</v>
      </c>
    </row>
    <row r="19" spans="1:5" x14ac:dyDescent="0.3">
      <c r="A19" s="47">
        <v>18</v>
      </c>
      <c r="B19" s="48" t="s">
        <v>20</v>
      </c>
      <c r="C19" s="49">
        <v>35000</v>
      </c>
      <c r="D19" s="50">
        <v>34000</v>
      </c>
      <c r="E19" s="47" t="s">
        <v>57</v>
      </c>
    </row>
    <row r="20" spans="1:5" x14ac:dyDescent="0.3">
      <c r="A20" s="47">
        <v>19</v>
      </c>
      <c r="B20" s="48" t="s">
        <v>21</v>
      </c>
      <c r="C20" s="49">
        <v>40000</v>
      </c>
      <c r="D20" s="50">
        <v>39000</v>
      </c>
      <c r="E20" s="47" t="s">
        <v>57</v>
      </c>
    </row>
    <row r="21" spans="1:5" x14ac:dyDescent="0.3">
      <c r="A21" s="47">
        <v>20</v>
      </c>
      <c r="B21" s="48" t="s">
        <v>47</v>
      </c>
      <c r="C21" s="49">
        <v>5500</v>
      </c>
      <c r="D21" s="50">
        <v>4500</v>
      </c>
      <c r="E21" s="47" t="s">
        <v>53</v>
      </c>
    </row>
    <row r="22" spans="1:5" x14ac:dyDescent="0.3">
      <c r="A22" s="47">
        <v>21</v>
      </c>
      <c r="B22" s="48" t="s">
        <v>28</v>
      </c>
      <c r="C22" s="49">
        <v>11000</v>
      </c>
      <c r="D22" s="50">
        <v>10000</v>
      </c>
      <c r="E22" s="47" t="s">
        <v>53</v>
      </c>
    </row>
    <row r="23" spans="1:5" x14ac:dyDescent="0.3">
      <c r="A23" s="47">
        <v>22</v>
      </c>
      <c r="B23" s="48" t="s">
        <v>29</v>
      </c>
      <c r="C23" s="49">
        <v>14500</v>
      </c>
      <c r="D23" s="50">
        <v>13500</v>
      </c>
      <c r="E23" s="47" t="s">
        <v>53</v>
      </c>
    </row>
    <row r="24" spans="1:5" x14ac:dyDescent="0.3">
      <c r="A24" s="47">
        <v>23</v>
      </c>
      <c r="B24" s="48" t="s">
        <v>35</v>
      </c>
      <c r="C24" s="49">
        <v>9000</v>
      </c>
      <c r="D24" s="50">
        <v>8000</v>
      </c>
      <c r="E24" s="47" t="s">
        <v>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EE400-4AE4-46B3-A54A-3F0A55321816}">
  <dimension ref="A1:H24"/>
  <sheetViews>
    <sheetView workbookViewId="0">
      <selection sqref="A1:XFD1048576"/>
    </sheetView>
  </sheetViews>
  <sheetFormatPr defaultColWidth="20" defaultRowHeight="14.4" x14ac:dyDescent="0.3"/>
  <sheetData>
    <row r="1" spans="1:8" ht="15" thickBot="1" x14ac:dyDescent="0.35">
      <c r="A1" s="20" t="s">
        <v>0</v>
      </c>
      <c r="B1" s="20" t="s">
        <v>36</v>
      </c>
      <c r="C1" s="20" t="s">
        <v>37</v>
      </c>
      <c r="D1" s="20" t="s">
        <v>38</v>
      </c>
      <c r="E1" s="20" t="s">
        <v>39</v>
      </c>
      <c r="F1" s="20" t="s">
        <v>40</v>
      </c>
      <c r="G1" s="20" t="s">
        <v>3</v>
      </c>
      <c r="H1" s="20" t="s">
        <v>41</v>
      </c>
    </row>
    <row r="2" spans="1:8" ht="15" thickBot="1" x14ac:dyDescent="0.35">
      <c r="A2" s="21">
        <v>46154</v>
      </c>
      <c r="B2" s="22" t="s">
        <v>12</v>
      </c>
      <c r="C2" s="23">
        <v>3</v>
      </c>
      <c r="D2" s="23">
        <v>5</v>
      </c>
      <c r="E2" s="23">
        <f>SUMIFS('[2]SO Warung'!$J:$J,'[2]SO Warung'!$A:$A,A2,'[2]SO Warung'!$B:$B,B2,'[2]SO Warung'!$D:$D,C2)</f>
        <v>4</v>
      </c>
      <c r="F2" s="23">
        <f>D2-E2</f>
        <v>1</v>
      </c>
      <c r="G2" s="24">
        <v>35000</v>
      </c>
      <c r="H2" s="22"/>
    </row>
    <row r="3" spans="1:8" ht="15" thickBot="1" x14ac:dyDescent="0.35">
      <c r="A3" s="21">
        <v>46154</v>
      </c>
      <c r="B3" s="22" t="s">
        <v>13</v>
      </c>
      <c r="C3" s="23">
        <v>3</v>
      </c>
      <c r="D3" s="23">
        <v>6</v>
      </c>
      <c r="E3" s="23">
        <f>SUMIFS('[2]SO Warung'!$J:$J,'[2]SO Warung'!$A:$A,A3,'[2]SO Warung'!$B:$B,B3,'[2]SO Warung'!$D:$D,C3)</f>
        <v>6</v>
      </c>
      <c r="F3" s="23">
        <f t="shared" ref="F3:F24" si="0">D3-E3</f>
        <v>0</v>
      </c>
      <c r="G3" s="24">
        <v>23000</v>
      </c>
      <c r="H3" s="22"/>
    </row>
    <row r="4" spans="1:8" ht="15" thickBot="1" x14ac:dyDescent="0.35">
      <c r="A4" s="21">
        <v>46154</v>
      </c>
      <c r="B4" s="22" t="s">
        <v>14</v>
      </c>
      <c r="C4" s="23">
        <v>3</v>
      </c>
      <c r="D4" s="23">
        <v>2</v>
      </c>
      <c r="E4" s="23">
        <f>SUMIFS('[2]SO Warung'!$J:$J,'[2]SO Warung'!$A:$A,A4,'[2]SO Warung'!$B:$B,B4,'[2]SO Warung'!$D:$D,C4)</f>
        <v>-1</v>
      </c>
      <c r="F4" s="23">
        <f t="shared" si="0"/>
        <v>3</v>
      </c>
      <c r="G4" s="24">
        <v>21000</v>
      </c>
      <c r="H4" s="22"/>
    </row>
    <row r="5" spans="1:8" ht="27.6" thickBot="1" x14ac:dyDescent="0.35">
      <c r="A5" s="21">
        <v>46154</v>
      </c>
      <c r="B5" s="22" t="s">
        <v>15</v>
      </c>
      <c r="C5" s="23">
        <v>3</v>
      </c>
      <c r="D5" s="23">
        <v>3</v>
      </c>
      <c r="E5" s="23">
        <f>SUMIFS('[2]SO Warung'!$J:$J,'[2]SO Warung'!$A:$A,A5,'[2]SO Warung'!$B:$B,B5,'[2]SO Warung'!$D:$D,C5)</f>
        <v>-2</v>
      </c>
      <c r="F5" s="23">
        <f t="shared" si="0"/>
        <v>5</v>
      </c>
      <c r="G5" s="24">
        <v>36000</v>
      </c>
      <c r="H5" s="22"/>
    </row>
    <row r="6" spans="1:8" ht="15" thickBot="1" x14ac:dyDescent="0.35">
      <c r="A6" s="21">
        <v>46154</v>
      </c>
      <c r="B6" s="22" t="s">
        <v>16</v>
      </c>
      <c r="C6" s="23">
        <v>3</v>
      </c>
      <c r="D6" s="23">
        <v>5</v>
      </c>
      <c r="E6" s="23">
        <f>SUMIFS('[2]SO Warung'!$J:$J,'[2]SO Warung'!$A:$A,A6,'[2]SO Warung'!$B:$B,B6,'[2]SO Warung'!$D:$D,C6)</f>
        <v>3</v>
      </c>
      <c r="F6" s="23">
        <f t="shared" si="0"/>
        <v>2</v>
      </c>
      <c r="G6" s="24">
        <v>23000</v>
      </c>
      <c r="H6" s="22"/>
    </row>
    <row r="7" spans="1:8" ht="15" thickBot="1" x14ac:dyDescent="0.35">
      <c r="A7" s="21">
        <v>46154</v>
      </c>
      <c r="B7" s="22" t="s">
        <v>17</v>
      </c>
      <c r="C7" s="23">
        <v>3</v>
      </c>
      <c r="D7" s="23">
        <v>6</v>
      </c>
      <c r="E7" s="23">
        <f>SUMIFS('[2]SO Warung'!$J:$J,'[2]SO Warung'!$A:$A,A7,'[2]SO Warung'!$B:$B,B7,'[2]SO Warung'!$D:$D,C7)</f>
        <v>0</v>
      </c>
      <c r="F7" s="23">
        <f t="shared" si="0"/>
        <v>6</v>
      </c>
      <c r="G7" s="24">
        <v>15000</v>
      </c>
      <c r="H7" s="22"/>
    </row>
    <row r="8" spans="1:8" ht="15" thickBot="1" x14ac:dyDescent="0.35">
      <c r="A8" s="21">
        <v>46154</v>
      </c>
      <c r="B8" s="22" t="s">
        <v>18</v>
      </c>
      <c r="C8" s="23">
        <v>3</v>
      </c>
      <c r="D8" s="23">
        <v>6</v>
      </c>
      <c r="E8" s="23">
        <f>SUMIFS('[2]SO Warung'!$J:$J,'[2]SO Warung'!$A:$A,A8,'[2]SO Warung'!$B:$B,B8,'[2]SO Warung'!$D:$D,C8)</f>
        <v>0</v>
      </c>
      <c r="F8" s="23">
        <f t="shared" si="0"/>
        <v>6</v>
      </c>
      <c r="G8" s="24">
        <v>18000</v>
      </c>
      <c r="H8" s="22"/>
    </row>
    <row r="9" spans="1:8" ht="15" thickBot="1" x14ac:dyDescent="0.35">
      <c r="A9" s="21">
        <v>46154</v>
      </c>
      <c r="B9" s="22" t="s">
        <v>19</v>
      </c>
      <c r="C9" s="23">
        <v>3</v>
      </c>
      <c r="D9" s="23">
        <v>2</v>
      </c>
      <c r="E9" s="23">
        <f>SUMIFS('[2]SO Warung'!$J:$J,'[2]SO Warung'!$A:$A,A9,'[2]SO Warung'!$B:$B,B9,'[2]SO Warung'!$D:$D,C9)</f>
        <v>0</v>
      </c>
      <c r="F9" s="23">
        <f t="shared" si="0"/>
        <v>2</v>
      </c>
      <c r="G9" s="24">
        <v>21000</v>
      </c>
      <c r="H9" s="22"/>
    </row>
    <row r="10" spans="1:8" ht="15" thickBot="1" x14ac:dyDescent="0.35">
      <c r="A10" s="21">
        <v>46154</v>
      </c>
      <c r="B10" s="22" t="s">
        <v>31</v>
      </c>
      <c r="C10" s="23">
        <v>3</v>
      </c>
      <c r="D10" s="23">
        <v>4</v>
      </c>
      <c r="E10" s="23">
        <f>SUMIFS('[2]SO Warung'!$J:$J,'[2]SO Warung'!$A:$A,A10,'[2]SO Warung'!$B:$B,B10,'[2]SO Warung'!$D:$D,C10)</f>
        <v>-2</v>
      </c>
      <c r="F10" s="23">
        <f t="shared" si="0"/>
        <v>6</v>
      </c>
      <c r="G10" s="24">
        <v>18000</v>
      </c>
      <c r="H10" s="22"/>
    </row>
    <row r="11" spans="1:8" ht="15" thickBot="1" x14ac:dyDescent="0.35">
      <c r="A11" s="21">
        <v>46154</v>
      </c>
      <c r="B11" s="22" t="s">
        <v>32</v>
      </c>
      <c r="C11" s="23">
        <v>3</v>
      </c>
      <c r="D11" s="23">
        <v>3</v>
      </c>
      <c r="E11" s="23">
        <f>SUMIFS('[2]SO Warung'!$J:$J,'[2]SO Warung'!$A:$A,A11,'[2]SO Warung'!$B:$B,B11,'[2]SO Warung'!$D:$D,C11)</f>
        <v>1</v>
      </c>
      <c r="F11" s="23">
        <f t="shared" si="0"/>
        <v>2</v>
      </c>
      <c r="G11" s="24">
        <v>21000</v>
      </c>
      <c r="H11" s="22"/>
    </row>
    <row r="12" spans="1:8" ht="15" thickBot="1" x14ac:dyDescent="0.35">
      <c r="A12" s="21">
        <v>46154</v>
      </c>
      <c r="B12" s="22" t="s">
        <v>20</v>
      </c>
      <c r="C12" s="23">
        <v>3</v>
      </c>
      <c r="D12" s="23">
        <v>2</v>
      </c>
      <c r="E12" s="23">
        <f>SUMIFS('[2]SO Warung'!$J:$J,'[2]SO Warung'!$A:$A,A12,'[2]SO Warung'!$B:$B,B12,'[2]SO Warung'!$D:$D,C12)</f>
        <v>1</v>
      </c>
      <c r="F12" s="23">
        <f t="shared" si="0"/>
        <v>1</v>
      </c>
      <c r="G12" s="24">
        <v>35000</v>
      </c>
      <c r="H12" s="22"/>
    </row>
    <row r="13" spans="1:8" ht="15" thickBot="1" x14ac:dyDescent="0.35">
      <c r="A13" s="21">
        <v>46154</v>
      </c>
      <c r="B13" s="22" t="s">
        <v>21</v>
      </c>
      <c r="C13" s="23">
        <v>3</v>
      </c>
      <c r="D13" s="23">
        <v>4</v>
      </c>
      <c r="E13" s="23">
        <f>SUMIFS('[2]SO Warung'!$J:$J,'[2]SO Warung'!$A:$A,A13,'[2]SO Warung'!$B:$B,B13,'[2]SO Warung'!$D:$D,C13)</f>
        <v>2</v>
      </c>
      <c r="F13" s="23">
        <f t="shared" si="0"/>
        <v>2</v>
      </c>
      <c r="G13" s="24">
        <v>40000</v>
      </c>
      <c r="H13" s="22"/>
    </row>
    <row r="14" spans="1:8" ht="15" thickBot="1" x14ac:dyDescent="0.35">
      <c r="A14" s="21">
        <v>46154</v>
      </c>
      <c r="B14" s="22" t="s">
        <v>22</v>
      </c>
      <c r="C14" s="23">
        <v>3</v>
      </c>
      <c r="D14" s="23">
        <v>12</v>
      </c>
      <c r="E14" s="23">
        <f>SUMIFS('[2]SO Warung'!$J:$J,'[2]SO Warung'!$A:$A,A14,'[2]SO Warung'!$B:$B,B14,'[2]SO Warung'!$D:$D,C14)</f>
        <v>0</v>
      </c>
      <c r="F14" s="23">
        <f t="shared" si="0"/>
        <v>12</v>
      </c>
      <c r="G14" s="24">
        <v>2500</v>
      </c>
      <c r="H14" s="22"/>
    </row>
    <row r="15" spans="1:8" ht="15" thickBot="1" x14ac:dyDescent="0.35">
      <c r="A15" s="21">
        <v>46154</v>
      </c>
      <c r="B15" s="22" t="s">
        <v>23</v>
      </c>
      <c r="C15" s="23">
        <v>3</v>
      </c>
      <c r="D15" s="23">
        <v>10</v>
      </c>
      <c r="E15" s="23">
        <f>SUMIFS('[2]SO Warung'!$J:$J,'[2]SO Warung'!$A:$A,A15,'[2]SO Warung'!$B:$B,B15,'[2]SO Warung'!$D:$D,C15)</f>
        <v>10</v>
      </c>
      <c r="F15" s="23">
        <f t="shared" si="0"/>
        <v>0</v>
      </c>
      <c r="G15" s="24">
        <v>2000</v>
      </c>
      <c r="H15" s="22"/>
    </row>
    <row r="16" spans="1:8" ht="15" thickBot="1" x14ac:dyDescent="0.35">
      <c r="A16" s="21">
        <v>46154</v>
      </c>
      <c r="B16" s="22" t="s">
        <v>24</v>
      </c>
      <c r="C16" s="23">
        <v>3</v>
      </c>
      <c r="D16" s="23">
        <v>10</v>
      </c>
      <c r="E16" s="23">
        <f>SUMIFS('[2]SO Warung'!$J:$J,'[2]SO Warung'!$A:$A,A16,'[2]SO Warung'!$B:$B,B16,'[2]SO Warung'!$D:$D,C16)</f>
        <v>4</v>
      </c>
      <c r="F16" s="23">
        <f t="shared" si="0"/>
        <v>6</v>
      </c>
      <c r="G16" s="24">
        <v>2500</v>
      </c>
      <c r="H16" s="22"/>
    </row>
    <row r="17" spans="1:8" ht="15" thickBot="1" x14ac:dyDescent="0.35">
      <c r="A17" s="21">
        <v>46154</v>
      </c>
      <c r="B17" s="22" t="s">
        <v>25</v>
      </c>
      <c r="C17" s="23">
        <v>3</v>
      </c>
      <c r="D17" s="23">
        <v>15</v>
      </c>
      <c r="E17" s="23">
        <f>SUMIFS('[2]SO Warung'!$J:$J,'[2]SO Warung'!$A:$A,A17,'[2]SO Warung'!$B:$B,B17,'[2]SO Warung'!$D:$D,C17)</f>
        <v>3</v>
      </c>
      <c r="F17" s="23">
        <f t="shared" si="0"/>
        <v>12</v>
      </c>
      <c r="G17" s="24">
        <v>10000</v>
      </c>
      <c r="H17" s="22"/>
    </row>
    <row r="18" spans="1:8" ht="15" thickBot="1" x14ac:dyDescent="0.35">
      <c r="A18" s="21">
        <v>46154</v>
      </c>
      <c r="B18" s="22" t="s">
        <v>26</v>
      </c>
      <c r="C18" s="23">
        <v>3</v>
      </c>
      <c r="D18" s="23">
        <v>10</v>
      </c>
      <c r="E18" s="23">
        <f>SUMIFS('[2]SO Warung'!$J:$J,'[2]SO Warung'!$A:$A,A18,'[2]SO Warung'!$B:$B,B18,'[2]SO Warung'!$D:$D,C18)</f>
        <v>0</v>
      </c>
      <c r="F18" s="23">
        <f t="shared" si="0"/>
        <v>10</v>
      </c>
      <c r="G18" s="24">
        <v>15000</v>
      </c>
      <c r="H18" s="22"/>
    </row>
    <row r="19" spans="1:8" ht="15" thickBot="1" x14ac:dyDescent="0.35">
      <c r="A19" s="21">
        <v>46154</v>
      </c>
      <c r="B19" s="22" t="s">
        <v>27</v>
      </c>
      <c r="C19" s="23">
        <v>3</v>
      </c>
      <c r="D19" s="23">
        <v>7</v>
      </c>
      <c r="E19" s="23">
        <f>SUMIFS('[2]SO Warung'!$J:$J,'[2]SO Warung'!$A:$A,A19,'[2]SO Warung'!$B:$B,B19,'[2]SO Warung'!$D:$D,C19)</f>
        <v>-3</v>
      </c>
      <c r="F19" s="23">
        <f t="shared" si="0"/>
        <v>10</v>
      </c>
      <c r="G19" s="24">
        <v>23000</v>
      </c>
      <c r="H19" s="22"/>
    </row>
    <row r="20" spans="1:8" ht="15" thickBot="1" x14ac:dyDescent="0.35">
      <c r="A20" s="21">
        <v>46154</v>
      </c>
      <c r="B20" s="22" t="s">
        <v>28</v>
      </c>
      <c r="C20" s="23">
        <v>3</v>
      </c>
      <c r="D20" s="23">
        <v>8</v>
      </c>
      <c r="E20" s="23">
        <f>SUMIFS('[2]SO Warung'!$J:$J,'[2]SO Warung'!$A:$A,A20,'[2]SO Warung'!$B:$B,B20,'[2]SO Warung'!$D:$D,C20)</f>
        <v>0</v>
      </c>
      <c r="F20" s="23">
        <f t="shared" si="0"/>
        <v>8</v>
      </c>
      <c r="G20" s="24">
        <v>11000</v>
      </c>
      <c r="H20" s="22"/>
    </row>
    <row r="21" spans="1:8" ht="15" thickBot="1" x14ac:dyDescent="0.35">
      <c r="A21" s="21">
        <v>46154</v>
      </c>
      <c r="B21" s="22" t="s">
        <v>29</v>
      </c>
      <c r="C21" s="23">
        <v>3</v>
      </c>
      <c r="D21" s="23">
        <v>6</v>
      </c>
      <c r="E21" s="23">
        <f>SUMIFS('[2]SO Warung'!$J:$J,'[2]SO Warung'!$A:$A,A21,'[2]SO Warung'!$B:$B,B21,'[2]SO Warung'!$D:$D,C21)</f>
        <v>-1</v>
      </c>
      <c r="F21" s="23">
        <f t="shared" si="0"/>
        <v>7</v>
      </c>
      <c r="G21" s="24">
        <v>14500</v>
      </c>
      <c r="H21" s="22"/>
    </row>
    <row r="22" spans="1:8" ht="15" thickBot="1" x14ac:dyDescent="0.35">
      <c r="A22" s="21">
        <v>46154</v>
      </c>
      <c r="B22" s="22" t="s">
        <v>30</v>
      </c>
      <c r="C22" s="23">
        <v>3</v>
      </c>
      <c r="D22" s="23">
        <v>20</v>
      </c>
      <c r="E22" s="23">
        <f>SUMIFS('[2]SO Warung'!$J:$J,'[2]SO Warung'!$A:$A,A22,'[2]SO Warung'!$B:$B,B22,'[2]SO Warung'!$D:$D,C22)</f>
        <v>13</v>
      </c>
      <c r="F22" s="23">
        <f t="shared" si="0"/>
        <v>7</v>
      </c>
      <c r="G22" s="24">
        <v>3500</v>
      </c>
      <c r="H22" s="22"/>
    </row>
    <row r="23" spans="1:8" ht="15" thickBot="1" x14ac:dyDescent="0.35">
      <c r="A23" s="21">
        <v>46154</v>
      </c>
      <c r="B23" s="22" t="s">
        <v>34</v>
      </c>
      <c r="C23" s="23">
        <v>3</v>
      </c>
      <c r="D23" s="23">
        <v>8</v>
      </c>
      <c r="E23" s="23">
        <f>SUMIFS('[2]SO Warung'!$J:$J,'[2]SO Warung'!$A:$A,A23,'[2]SO Warung'!$B:$B,B23,'[2]SO Warung'!$D:$D,C23)</f>
        <v>0</v>
      </c>
      <c r="F23" s="23">
        <f t="shared" si="0"/>
        <v>8</v>
      </c>
      <c r="G23" s="24">
        <v>5500</v>
      </c>
      <c r="H23" s="22"/>
    </row>
    <row r="24" spans="1:8" ht="15" thickBot="1" x14ac:dyDescent="0.35">
      <c r="A24" s="21">
        <v>46154</v>
      </c>
      <c r="B24" s="22" t="s">
        <v>35</v>
      </c>
      <c r="C24" s="23">
        <v>3</v>
      </c>
      <c r="D24" s="23">
        <v>3</v>
      </c>
      <c r="E24" s="23">
        <f>SUMIFS('[2]SO Warung'!$J:$J,'[2]SO Warung'!$A:$A,A24,'[2]SO Warung'!$B:$B,B24,'[2]SO Warung'!$D:$D,C24)</f>
        <v>-1</v>
      </c>
      <c r="F24" s="23">
        <f t="shared" si="0"/>
        <v>4</v>
      </c>
      <c r="G24" s="24">
        <v>9000</v>
      </c>
      <c r="H24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1E4C2-8D33-4A49-A8A3-3B1CECC2C48E}">
  <dimension ref="A1:H24"/>
  <sheetViews>
    <sheetView workbookViewId="0">
      <selection sqref="A1:XFD1048576"/>
    </sheetView>
  </sheetViews>
  <sheetFormatPr defaultColWidth="20.44140625" defaultRowHeight="14.4" x14ac:dyDescent="0.3"/>
  <sheetData>
    <row r="1" spans="1:8" ht="15" thickBot="1" x14ac:dyDescent="0.35">
      <c r="A1" s="20" t="s">
        <v>0</v>
      </c>
      <c r="B1" s="20" t="s">
        <v>36</v>
      </c>
      <c r="C1" s="20" t="s">
        <v>37</v>
      </c>
      <c r="D1" s="20" t="s">
        <v>38</v>
      </c>
      <c r="E1" s="20" t="s">
        <v>39</v>
      </c>
      <c r="F1" s="20" t="s">
        <v>40</v>
      </c>
      <c r="G1" s="20" t="s">
        <v>3</v>
      </c>
      <c r="H1" s="20" t="s">
        <v>41</v>
      </c>
    </row>
    <row r="2" spans="1:8" ht="15" thickBot="1" x14ac:dyDescent="0.35">
      <c r="A2" s="21">
        <v>46154</v>
      </c>
      <c r="B2" s="22" t="s">
        <v>12</v>
      </c>
      <c r="C2" s="23">
        <v>8</v>
      </c>
      <c r="D2" s="23">
        <v>5</v>
      </c>
      <c r="E2" s="25">
        <f>SUMIFS('[2]SO Warung'!$J:$J,'[2]SO Warung'!$A:$A,A2,'[2]SO Warung'!$B:$B,B2,'[2]SO Warung'!$D:$D,C2)</f>
        <v>0</v>
      </c>
      <c r="F2" s="25">
        <f>D2-E2</f>
        <v>5</v>
      </c>
      <c r="G2" s="24">
        <v>35000</v>
      </c>
      <c r="H2" s="22"/>
    </row>
    <row r="3" spans="1:8" ht="15" thickBot="1" x14ac:dyDescent="0.35">
      <c r="A3" s="21">
        <v>46154</v>
      </c>
      <c r="B3" s="22" t="s">
        <v>13</v>
      </c>
      <c r="C3" s="23">
        <v>8</v>
      </c>
      <c r="D3" s="23">
        <v>6</v>
      </c>
      <c r="E3" s="25">
        <f>SUMIFS('[2]SO Warung'!$J:$J,'[2]SO Warung'!$A:$A,A3,'[2]SO Warung'!$B:$B,B3,'[2]SO Warung'!$D:$D,C3)</f>
        <v>5</v>
      </c>
      <c r="F3" s="25">
        <f t="shared" ref="F3:F24" si="0">D3-E3</f>
        <v>1</v>
      </c>
      <c r="G3" s="24">
        <v>23000</v>
      </c>
      <c r="H3" s="22"/>
    </row>
    <row r="4" spans="1:8" ht="15" thickBot="1" x14ac:dyDescent="0.35">
      <c r="A4" s="21">
        <v>46154</v>
      </c>
      <c r="B4" s="22" t="s">
        <v>14</v>
      </c>
      <c r="C4" s="23">
        <v>8</v>
      </c>
      <c r="D4" s="23">
        <v>2</v>
      </c>
      <c r="E4" s="25">
        <f>SUMIFS('[2]SO Warung'!$J:$J,'[2]SO Warung'!$A:$A,A4,'[2]SO Warung'!$B:$B,B4,'[2]SO Warung'!$D:$D,C4)</f>
        <v>0</v>
      </c>
      <c r="F4" s="25">
        <f t="shared" si="0"/>
        <v>2</v>
      </c>
      <c r="G4" s="24">
        <v>21000</v>
      </c>
      <c r="H4" s="22"/>
    </row>
    <row r="5" spans="1:8" ht="27.6" thickBot="1" x14ac:dyDescent="0.35">
      <c r="A5" s="21">
        <v>46154</v>
      </c>
      <c r="B5" s="22" t="s">
        <v>15</v>
      </c>
      <c r="C5" s="23">
        <v>8</v>
      </c>
      <c r="D5" s="23">
        <v>3</v>
      </c>
      <c r="E5" s="25">
        <f>SUMIFS('[2]SO Warung'!$J:$J,'[2]SO Warung'!$A:$A,A5,'[2]SO Warung'!$B:$B,B5,'[2]SO Warung'!$D:$D,C5)</f>
        <v>0</v>
      </c>
      <c r="F5" s="25">
        <f t="shared" si="0"/>
        <v>3</v>
      </c>
      <c r="G5" s="24">
        <v>36000</v>
      </c>
      <c r="H5" s="22"/>
    </row>
    <row r="6" spans="1:8" ht="15" thickBot="1" x14ac:dyDescent="0.35">
      <c r="A6" s="21">
        <v>46154</v>
      </c>
      <c r="B6" s="22" t="s">
        <v>16</v>
      </c>
      <c r="C6" s="23">
        <v>8</v>
      </c>
      <c r="D6" s="23">
        <v>5</v>
      </c>
      <c r="E6" s="25">
        <f>SUMIFS('[2]SO Warung'!$J:$J,'[2]SO Warung'!$A:$A,A6,'[2]SO Warung'!$B:$B,B6,'[2]SO Warung'!$D:$D,C6)</f>
        <v>1</v>
      </c>
      <c r="F6" s="25">
        <f t="shared" si="0"/>
        <v>4</v>
      </c>
      <c r="G6" s="24">
        <v>23000</v>
      </c>
      <c r="H6" s="22"/>
    </row>
    <row r="7" spans="1:8" ht="15" thickBot="1" x14ac:dyDescent="0.35">
      <c r="A7" s="21">
        <v>46154</v>
      </c>
      <c r="B7" s="22" t="s">
        <v>17</v>
      </c>
      <c r="C7" s="23">
        <v>8</v>
      </c>
      <c r="D7" s="23">
        <v>6</v>
      </c>
      <c r="E7" s="25">
        <f>SUMIFS('[2]SO Warung'!$J:$J,'[2]SO Warung'!$A:$A,A7,'[2]SO Warung'!$B:$B,B7,'[2]SO Warung'!$D:$D,C7)</f>
        <v>1</v>
      </c>
      <c r="F7" s="25">
        <f t="shared" si="0"/>
        <v>5</v>
      </c>
      <c r="G7" s="24">
        <v>15000</v>
      </c>
      <c r="H7" s="22"/>
    </row>
    <row r="8" spans="1:8" ht="15" thickBot="1" x14ac:dyDescent="0.35">
      <c r="A8" s="21">
        <v>46154</v>
      </c>
      <c r="B8" s="22" t="s">
        <v>18</v>
      </c>
      <c r="C8" s="23">
        <v>8</v>
      </c>
      <c r="D8" s="23">
        <v>6</v>
      </c>
      <c r="E8" s="25">
        <f>SUMIFS('[2]SO Warung'!$J:$J,'[2]SO Warung'!$A:$A,A8,'[2]SO Warung'!$B:$B,B8,'[2]SO Warung'!$D:$D,C8)</f>
        <v>0</v>
      </c>
      <c r="F8" s="25">
        <f t="shared" si="0"/>
        <v>6</v>
      </c>
      <c r="G8" s="24">
        <v>18000</v>
      </c>
      <c r="H8" s="22"/>
    </row>
    <row r="9" spans="1:8" ht="15" thickBot="1" x14ac:dyDescent="0.35">
      <c r="A9" s="21">
        <v>46154</v>
      </c>
      <c r="B9" s="22" t="s">
        <v>19</v>
      </c>
      <c r="C9" s="23">
        <v>8</v>
      </c>
      <c r="D9" s="23">
        <v>2</v>
      </c>
      <c r="E9" s="25">
        <f>SUMIFS('[2]SO Warung'!$J:$J,'[2]SO Warung'!$A:$A,A9,'[2]SO Warung'!$B:$B,B9,'[2]SO Warung'!$D:$D,C9)</f>
        <v>0</v>
      </c>
      <c r="F9" s="25">
        <f t="shared" si="0"/>
        <v>2</v>
      </c>
      <c r="G9" s="24">
        <v>21000</v>
      </c>
      <c r="H9" s="22"/>
    </row>
    <row r="10" spans="1:8" ht="15" thickBot="1" x14ac:dyDescent="0.35">
      <c r="A10" s="21">
        <v>46154</v>
      </c>
      <c r="B10" s="22" t="s">
        <v>31</v>
      </c>
      <c r="C10" s="23">
        <v>8</v>
      </c>
      <c r="D10" s="23">
        <v>4</v>
      </c>
      <c r="E10" s="25">
        <f>SUMIFS('[2]SO Warung'!$J:$J,'[2]SO Warung'!$A:$A,A10,'[2]SO Warung'!$B:$B,B10,'[2]SO Warung'!$D:$D,C10)</f>
        <v>0</v>
      </c>
      <c r="F10" s="25">
        <f t="shared" si="0"/>
        <v>4</v>
      </c>
      <c r="G10" s="24">
        <v>18000</v>
      </c>
      <c r="H10" s="22"/>
    </row>
    <row r="11" spans="1:8" ht="15" thickBot="1" x14ac:dyDescent="0.35">
      <c r="A11" s="21">
        <v>46154</v>
      </c>
      <c r="B11" s="22" t="s">
        <v>32</v>
      </c>
      <c r="C11" s="23">
        <v>8</v>
      </c>
      <c r="D11" s="23">
        <v>3</v>
      </c>
      <c r="E11" s="25">
        <f>SUMIFS('[2]SO Warung'!$J:$J,'[2]SO Warung'!$A:$A,A11,'[2]SO Warung'!$B:$B,B11,'[2]SO Warung'!$D:$D,C11)</f>
        <v>3</v>
      </c>
      <c r="F11" s="25">
        <f t="shared" si="0"/>
        <v>0</v>
      </c>
      <c r="G11" s="24">
        <v>21000</v>
      </c>
      <c r="H11" s="22"/>
    </row>
    <row r="12" spans="1:8" ht="15" thickBot="1" x14ac:dyDescent="0.35">
      <c r="A12" s="21">
        <v>46154</v>
      </c>
      <c r="B12" s="22" t="s">
        <v>20</v>
      </c>
      <c r="C12" s="23">
        <v>8</v>
      </c>
      <c r="D12" s="23">
        <v>2</v>
      </c>
      <c r="E12" s="25">
        <f>SUMIFS('[2]SO Warung'!$J:$J,'[2]SO Warung'!$A:$A,A12,'[2]SO Warung'!$B:$B,B12,'[2]SO Warung'!$D:$D,C12)</f>
        <v>0</v>
      </c>
      <c r="F12" s="25">
        <f t="shared" si="0"/>
        <v>2</v>
      </c>
      <c r="G12" s="24">
        <v>35000</v>
      </c>
      <c r="H12" s="22"/>
    </row>
    <row r="13" spans="1:8" ht="15" thickBot="1" x14ac:dyDescent="0.35">
      <c r="A13" s="21">
        <v>46154</v>
      </c>
      <c r="B13" s="22" t="s">
        <v>21</v>
      </c>
      <c r="C13" s="23">
        <v>8</v>
      </c>
      <c r="D13" s="23">
        <v>4</v>
      </c>
      <c r="E13" s="25">
        <f>SUMIFS('[2]SO Warung'!$J:$J,'[2]SO Warung'!$A:$A,A13,'[2]SO Warung'!$B:$B,B13,'[2]SO Warung'!$D:$D,C13)</f>
        <v>2</v>
      </c>
      <c r="F13" s="25">
        <f t="shared" si="0"/>
        <v>2</v>
      </c>
      <c r="G13" s="24">
        <v>40000</v>
      </c>
      <c r="H13" s="22"/>
    </row>
    <row r="14" spans="1:8" ht="15" thickBot="1" x14ac:dyDescent="0.35">
      <c r="A14" s="21">
        <v>46154</v>
      </c>
      <c r="B14" s="22" t="s">
        <v>22</v>
      </c>
      <c r="C14" s="23">
        <v>8</v>
      </c>
      <c r="D14" s="23">
        <v>12</v>
      </c>
      <c r="E14" s="25">
        <f>SUMIFS('[2]SO Warung'!$J:$J,'[2]SO Warung'!$A:$A,A14,'[2]SO Warung'!$B:$B,B14,'[2]SO Warung'!$D:$D,C14)</f>
        <v>1</v>
      </c>
      <c r="F14" s="25">
        <f t="shared" si="0"/>
        <v>11</v>
      </c>
      <c r="G14" s="24">
        <v>2500</v>
      </c>
      <c r="H14" s="22"/>
    </row>
    <row r="15" spans="1:8" ht="15" thickBot="1" x14ac:dyDescent="0.35">
      <c r="A15" s="21">
        <v>46154</v>
      </c>
      <c r="B15" s="22" t="s">
        <v>23</v>
      </c>
      <c r="C15" s="23">
        <v>8</v>
      </c>
      <c r="D15" s="23">
        <v>10</v>
      </c>
      <c r="E15" s="25">
        <f>SUMIFS('[2]SO Warung'!$J:$J,'[2]SO Warung'!$A:$A,A15,'[2]SO Warung'!$B:$B,B15,'[2]SO Warung'!$D:$D,C15)</f>
        <v>1</v>
      </c>
      <c r="F15" s="25">
        <f t="shared" si="0"/>
        <v>9</v>
      </c>
      <c r="G15" s="24">
        <v>2000</v>
      </c>
      <c r="H15" s="22"/>
    </row>
    <row r="16" spans="1:8" ht="15" thickBot="1" x14ac:dyDescent="0.35">
      <c r="A16" s="21">
        <v>46154</v>
      </c>
      <c r="B16" s="22" t="s">
        <v>24</v>
      </c>
      <c r="C16" s="23">
        <v>8</v>
      </c>
      <c r="D16" s="23">
        <v>10</v>
      </c>
      <c r="E16" s="25">
        <f>SUMIFS('[2]SO Warung'!$J:$J,'[2]SO Warung'!$A:$A,A16,'[2]SO Warung'!$B:$B,B16,'[2]SO Warung'!$D:$D,C16)</f>
        <v>2</v>
      </c>
      <c r="F16" s="25">
        <f t="shared" si="0"/>
        <v>8</v>
      </c>
      <c r="G16" s="24">
        <v>2500</v>
      </c>
      <c r="H16" s="22"/>
    </row>
    <row r="17" spans="1:8" ht="15" thickBot="1" x14ac:dyDescent="0.35">
      <c r="A17" s="21">
        <v>46154</v>
      </c>
      <c r="B17" s="22" t="s">
        <v>25</v>
      </c>
      <c r="C17" s="23">
        <v>8</v>
      </c>
      <c r="D17" s="23">
        <v>15</v>
      </c>
      <c r="E17" s="25">
        <f>SUMIFS('[2]SO Warung'!$J:$J,'[2]SO Warung'!$A:$A,A17,'[2]SO Warung'!$B:$B,B17,'[2]SO Warung'!$D:$D,C17)</f>
        <v>4</v>
      </c>
      <c r="F17" s="25">
        <f t="shared" si="0"/>
        <v>11</v>
      </c>
      <c r="G17" s="24">
        <v>10000</v>
      </c>
      <c r="H17" s="22"/>
    </row>
    <row r="18" spans="1:8" ht="15" thickBot="1" x14ac:dyDescent="0.35">
      <c r="A18" s="21">
        <v>46154</v>
      </c>
      <c r="B18" s="22" t="s">
        <v>26</v>
      </c>
      <c r="C18" s="23">
        <v>8</v>
      </c>
      <c r="D18" s="23">
        <v>10</v>
      </c>
      <c r="E18" s="25">
        <f>SUMIFS('[2]SO Warung'!$J:$J,'[2]SO Warung'!$A:$A,A18,'[2]SO Warung'!$B:$B,B18,'[2]SO Warung'!$D:$D,C18)</f>
        <v>3</v>
      </c>
      <c r="F18" s="25">
        <f t="shared" si="0"/>
        <v>7</v>
      </c>
      <c r="G18" s="24">
        <v>15000</v>
      </c>
      <c r="H18" s="22"/>
    </row>
    <row r="19" spans="1:8" ht="15" thickBot="1" x14ac:dyDescent="0.35">
      <c r="A19" s="21">
        <v>46154</v>
      </c>
      <c r="B19" s="22" t="s">
        <v>27</v>
      </c>
      <c r="C19" s="23">
        <v>8</v>
      </c>
      <c r="D19" s="23">
        <v>7</v>
      </c>
      <c r="E19" s="25">
        <f>SUMIFS('[2]SO Warung'!$J:$J,'[2]SO Warung'!$A:$A,A19,'[2]SO Warung'!$B:$B,B19,'[2]SO Warung'!$D:$D,C19)</f>
        <v>0</v>
      </c>
      <c r="F19" s="25">
        <f t="shared" si="0"/>
        <v>7</v>
      </c>
      <c r="G19" s="24">
        <v>23000</v>
      </c>
      <c r="H19" s="22"/>
    </row>
    <row r="20" spans="1:8" ht="15" thickBot="1" x14ac:dyDescent="0.35">
      <c r="A20" s="21">
        <v>46154</v>
      </c>
      <c r="B20" s="22" t="s">
        <v>28</v>
      </c>
      <c r="C20" s="23">
        <v>8</v>
      </c>
      <c r="D20" s="23">
        <v>8</v>
      </c>
      <c r="E20" s="25">
        <f>SUMIFS('[2]SO Warung'!$J:$J,'[2]SO Warung'!$A:$A,A20,'[2]SO Warung'!$B:$B,B20,'[2]SO Warung'!$D:$D,C20)</f>
        <v>3</v>
      </c>
      <c r="F20" s="25">
        <f t="shared" si="0"/>
        <v>5</v>
      </c>
      <c r="G20" s="24">
        <v>11000</v>
      </c>
      <c r="H20" s="22"/>
    </row>
    <row r="21" spans="1:8" ht="15" thickBot="1" x14ac:dyDescent="0.35">
      <c r="A21" s="21">
        <v>46154</v>
      </c>
      <c r="B21" s="22" t="s">
        <v>29</v>
      </c>
      <c r="C21" s="23">
        <v>8</v>
      </c>
      <c r="D21" s="23">
        <v>6</v>
      </c>
      <c r="E21" s="25">
        <f>SUMIFS('[2]SO Warung'!$J:$J,'[2]SO Warung'!$A:$A,A21,'[2]SO Warung'!$B:$B,B21,'[2]SO Warung'!$D:$D,C21)</f>
        <v>2</v>
      </c>
      <c r="F21" s="25">
        <f t="shared" si="0"/>
        <v>4</v>
      </c>
      <c r="G21" s="24">
        <v>14500</v>
      </c>
      <c r="H21" s="22"/>
    </row>
    <row r="22" spans="1:8" ht="15" thickBot="1" x14ac:dyDescent="0.35">
      <c r="A22" s="21">
        <v>46154</v>
      </c>
      <c r="B22" s="22" t="s">
        <v>30</v>
      </c>
      <c r="C22" s="23">
        <v>8</v>
      </c>
      <c r="D22" s="23">
        <v>20</v>
      </c>
      <c r="E22" s="25">
        <f>SUMIFS('[2]SO Warung'!$J:$J,'[2]SO Warung'!$A:$A,A22,'[2]SO Warung'!$B:$B,B22,'[2]SO Warung'!$D:$D,C22)</f>
        <v>2</v>
      </c>
      <c r="F22" s="25">
        <f t="shared" si="0"/>
        <v>18</v>
      </c>
      <c r="G22" s="24">
        <v>3500</v>
      </c>
      <c r="H22" s="22"/>
    </row>
    <row r="23" spans="1:8" ht="15" thickBot="1" x14ac:dyDescent="0.35">
      <c r="A23" s="21">
        <v>46154</v>
      </c>
      <c r="B23" s="22" t="s">
        <v>34</v>
      </c>
      <c r="C23" s="23">
        <v>8</v>
      </c>
      <c r="D23" s="23">
        <v>8</v>
      </c>
      <c r="E23" s="25">
        <f>SUMIFS('[2]SO Warung'!$J:$J,'[2]SO Warung'!$A:$A,A23,'[2]SO Warung'!$B:$B,B23,'[2]SO Warung'!$D:$D,C23)</f>
        <v>1</v>
      </c>
      <c r="F23" s="25">
        <f t="shared" si="0"/>
        <v>7</v>
      </c>
      <c r="G23" s="24">
        <v>5500</v>
      </c>
      <c r="H23" s="22"/>
    </row>
    <row r="24" spans="1:8" ht="15" thickBot="1" x14ac:dyDescent="0.35">
      <c r="A24" s="21">
        <v>46154</v>
      </c>
      <c r="B24" s="22" t="s">
        <v>35</v>
      </c>
      <c r="C24" s="23">
        <v>8</v>
      </c>
      <c r="D24" s="23">
        <v>3</v>
      </c>
      <c r="E24" s="25">
        <f>SUMIFS('[2]SO Warung'!$J:$J,'[2]SO Warung'!$A:$A,A24,'[2]SO Warung'!$B:$B,B24,'[2]SO Warung'!$D:$D,C24)</f>
        <v>2</v>
      </c>
      <c r="F24" s="25">
        <f t="shared" si="0"/>
        <v>1</v>
      </c>
      <c r="G24" s="24">
        <v>9000</v>
      </c>
      <c r="H24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DE65A-0DCB-4402-A06F-2C98A2163C5D}">
  <dimension ref="A1:H24"/>
  <sheetViews>
    <sheetView topLeftCell="A5" workbookViewId="0">
      <selection sqref="A1:XFD1048576"/>
    </sheetView>
  </sheetViews>
  <sheetFormatPr defaultColWidth="20.6640625" defaultRowHeight="14.4" x14ac:dyDescent="0.3"/>
  <cols>
    <col min="1" max="16384" width="20.6640625" style="34"/>
  </cols>
  <sheetData>
    <row r="1" spans="1:8" ht="15" thickBot="1" x14ac:dyDescent="0.35">
      <c r="A1" s="33" t="s">
        <v>0</v>
      </c>
      <c r="B1" s="33" t="s">
        <v>36</v>
      </c>
      <c r="C1" s="33" t="s">
        <v>37</v>
      </c>
      <c r="D1" s="33" t="s">
        <v>38</v>
      </c>
      <c r="E1" s="33" t="s">
        <v>39</v>
      </c>
      <c r="F1" s="33" t="s">
        <v>40</v>
      </c>
      <c r="G1" s="33" t="s">
        <v>3</v>
      </c>
      <c r="H1" s="33" t="s">
        <v>41</v>
      </c>
    </row>
    <row r="2" spans="1:8" ht="15" thickBot="1" x14ac:dyDescent="0.35">
      <c r="A2" s="35">
        <v>46154</v>
      </c>
      <c r="B2" s="36" t="s">
        <v>12</v>
      </c>
      <c r="C2" s="36">
        <v>9</v>
      </c>
      <c r="D2" s="36">
        <v>5</v>
      </c>
      <c r="E2" s="36">
        <f>SUMIFS('[2]SO Warung'!$J:$J,'[2]SO Warung'!$A:$A,A2,'[2]SO Warung'!$B:$B,B2,'[2]SO Warung'!$D:$D,C2)</f>
        <v>1</v>
      </c>
      <c r="F2" s="36">
        <f>D2-E2</f>
        <v>4</v>
      </c>
      <c r="G2" s="37">
        <v>35000</v>
      </c>
      <c r="H2" s="36"/>
    </row>
    <row r="3" spans="1:8" ht="15" thickBot="1" x14ac:dyDescent="0.35">
      <c r="A3" s="35">
        <v>46154</v>
      </c>
      <c r="B3" s="36" t="s">
        <v>13</v>
      </c>
      <c r="C3" s="36">
        <v>9</v>
      </c>
      <c r="D3" s="36">
        <v>6</v>
      </c>
      <c r="E3" s="36">
        <f>SUMIFS('[2]SO Warung'!$J:$J,'[2]SO Warung'!$A:$A,A3,'[2]SO Warung'!$B:$B,B3,'[2]SO Warung'!$D:$D,C3)</f>
        <v>5</v>
      </c>
      <c r="F3" s="36">
        <f t="shared" ref="F3:F24" si="0">D3-E3</f>
        <v>1</v>
      </c>
      <c r="G3" s="37">
        <v>23000</v>
      </c>
      <c r="H3" s="36"/>
    </row>
    <row r="4" spans="1:8" ht="15" thickBot="1" x14ac:dyDescent="0.35">
      <c r="A4" s="35">
        <v>46154</v>
      </c>
      <c r="B4" s="36" t="s">
        <v>14</v>
      </c>
      <c r="C4" s="36">
        <v>9</v>
      </c>
      <c r="D4" s="36">
        <v>2</v>
      </c>
      <c r="E4" s="36">
        <f>SUMIFS('[2]SO Warung'!$J:$J,'[2]SO Warung'!$A:$A,A4,'[2]SO Warung'!$B:$B,B4,'[2]SO Warung'!$D:$D,C4)</f>
        <v>0</v>
      </c>
      <c r="F4" s="36">
        <f t="shared" si="0"/>
        <v>2</v>
      </c>
      <c r="G4" s="37">
        <v>21000</v>
      </c>
      <c r="H4" s="36"/>
    </row>
    <row r="5" spans="1:8" ht="27" thickBot="1" x14ac:dyDescent="0.35">
      <c r="A5" s="35">
        <v>46154</v>
      </c>
      <c r="B5" s="36" t="s">
        <v>15</v>
      </c>
      <c r="C5" s="36">
        <v>9</v>
      </c>
      <c r="D5" s="36">
        <v>3</v>
      </c>
      <c r="E5" s="36">
        <f>SUMIFS('[2]SO Warung'!$J:$J,'[2]SO Warung'!$A:$A,A5,'[2]SO Warung'!$B:$B,B5,'[2]SO Warung'!$D:$D,C5)</f>
        <v>0</v>
      </c>
      <c r="F5" s="36">
        <f t="shared" si="0"/>
        <v>3</v>
      </c>
      <c r="G5" s="37">
        <v>36000</v>
      </c>
      <c r="H5" s="36"/>
    </row>
    <row r="6" spans="1:8" ht="15" thickBot="1" x14ac:dyDescent="0.35">
      <c r="A6" s="35">
        <v>46154</v>
      </c>
      <c r="B6" s="36" t="s">
        <v>16</v>
      </c>
      <c r="C6" s="36">
        <v>9</v>
      </c>
      <c r="D6" s="36">
        <v>5</v>
      </c>
      <c r="E6" s="36">
        <f>SUMIFS('[2]SO Warung'!$J:$J,'[2]SO Warung'!$A:$A,A6,'[2]SO Warung'!$B:$B,B6,'[2]SO Warung'!$D:$D,C6)</f>
        <v>7</v>
      </c>
      <c r="F6" s="36">
        <f t="shared" si="0"/>
        <v>-2</v>
      </c>
      <c r="G6" s="37">
        <v>23000</v>
      </c>
      <c r="H6" s="36"/>
    </row>
    <row r="7" spans="1:8" ht="15" thickBot="1" x14ac:dyDescent="0.35">
      <c r="A7" s="35">
        <v>46154</v>
      </c>
      <c r="B7" s="36" t="s">
        <v>17</v>
      </c>
      <c r="C7" s="36">
        <v>9</v>
      </c>
      <c r="D7" s="36">
        <v>6</v>
      </c>
      <c r="E7" s="36">
        <f>SUMIFS('[2]SO Warung'!$J:$J,'[2]SO Warung'!$A:$A,A7,'[2]SO Warung'!$B:$B,B7,'[2]SO Warung'!$D:$D,C7)</f>
        <v>0</v>
      </c>
      <c r="F7" s="36">
        <f t="shared" si="0"/>
        <v>6</v>
      </c>
      <c r="G7" s="37">
        <v>15000</v>
      </c>
      <c r="H7" s="36"/>
    </row>
    <row r="8" spans="1:8" ht="15" thickBot="1" x14ac:dyDescent="0.35">
      <c r="A8" s="35">
        <v>46154</v>
      </c>
      <c r="B8" s="36" t="s">
        <v>18</v>
      </c>
      <c r="C8" s="36">
        <v>9</v>
      </c>
      <c r="D8" s="36">
        <v>6</v>
      </c>
      <c r="E8" s="36">
        <f>SUMIFS('[2]SO Warung'!$J:$J,'[2]SO Warung'!$A:$A,A8,'[2]SO Warung'!$B:$B,B8,'[2]SO Warung'!$D:$D,C8)</f>
        <v>0</v>
      </c>
      <c r="F8" s="36">
        <f t="shared" si="0"/>
        <v>6</v>
      </c>
      <c r="G8" s="37">
        <v>18000</v>
      </c>
      <c r="H8" s="36"/>
    </row>
    <row r="9" spans="1:8" ht="15" thickBot="1" x14ac:dyDescent="0.35">
      <c r="A9" s="35">
        <v>46154</v>
      </c>
      <c r="B9" s="36" t="s">
        <v>19</v>
      </c>
      <c r="C9" s="36">
        <v>9</v>
      </c>
      <c r="D9" s="36">
        <v>2</v>
      </c>
      <c r="E9" s="36">
        <f>SUMIFS('[2]SO Warung'!$J:$J,'[2]SO Warung'!$A:$A,A9,'[2]SO Warung'!$B:$B,B9,'[2]SO Warung'!$D:$D,C9)</f>
        <v>0</v>
      </c>
      <c r="F9" s="36">
        <f t="shared" si="0"/>
        <v>2</v>
      </c>
      <c r="G9" s="37">
        <v>21000</v>
      </c>
      <c r="H9" s="36"/>
    </row>
    <row r="10" spans="1:8" ht="15" thickBot="1" x14ac:dyDescent="0.35">
      <c r="A10" s="35">
        <v>46154</v>
      </c>
      <c r="B10" s="36" t="s">
        <v>31</v>
      </c>
      <c r="C10" s="36">
        <v>9</v>
      </c>
      <c r="D10" s="36">
        <v>4</v>
      </c>
      <c r="E10" s="36">
        <f>SUMIFS('[2]SO Warung'!$J:$J,'[2]SO Warung'!$A:$A,A10,'[2]SO Warung'!$B:$B,B10,'[2]SO Warung'!$D:$D,C10)</f>
        <v>0</v>
      </c>
      <c r="F10" s="36">
        <f t="shared" si="0"/>
        <v>4</v>
      </c>
      <c r="G10" s="37">
        <v>18000</v>
      </c>
      <c r="H10" s="36"/>
    </row>
    <row r="11" spans="1:8" ht="15" thickBot="1" x14ac:dyDescent="0.35">
      <c r="A11" s="35">
        <v>46154</v>
      </c>
      <c r="B11" s="36" t="s">
        <v>32</v>
      </c>
      <c r="C11" s="36">
        <v>9</v>
      </c>
      <c r="D11" s="36">
        <v>3</v>
      </c>
      <c r="E11" s="36">
        <f>SUMIFS('[2]SO Warung'!$J:$J,'[2]SO Warung'!$A:$A,A11,'[2]SO Warung'!$B:$B,B11,'[2]SO Warung'!$D:$D,C11)</f>
        <v>1</v>
      </c>
      <c r="F11" s="36">
        <f t="shared" si="0"/>
        <v>2</v>
      </c>
      <c r="G11" s="37">
        <v>21000</v>
      </c>
      <c r="H11" s="36"/>
    </row>
    <row r="12" spans="1:8" ht="15" thickBot="1" x14ac:dyDescent="0.35">
      <c r="A12" s="35">
        <v>46154</v>
      </c>
      <c r="B12" s="36" t="s">
        <v>20</v>
      </c>
      <c r="C12" s="36">
        <v>9</v>
      </c>
      <c r="D12" s="36">
        <v>2</v>
      </c>
      <c r="E12" s="36">
        <f>SUMIFS('[2]SO Warung'!$J:$J,'[2]SO Warung'!$A:$A,A12,'[2]SO Warung'!$B:$B,B12,'[2]SO Warung'!$D:$D,C12)</f>
        <v>0</v>
      </c>
      <c r="F12" s="36">
        <f t="shared" si="0"/>
        <v>2</v>
      </c>
      <c r="G12" s="37">
        <v>35000</v>
      </c>
      <c r="H12" s="36"/>
    </row>
    <row r="13" spans="1:8" ht="15" thickBot="1" x14ac:dyDescent="0.35">
      <c r="A13" s="35">
        <v>46154</v>
      </c>
      <c r="B13" s="36" t="s">
        <v>21</v>
      </c>
      <c r="C13" s="36">
        <v>9</v>
      </c>
      <c r="D13" s="36">
        <v>4</v>
      </c>
      <c r="E13" s="36">
        <f>SUMIFS('[2]SO Warung'!$J:$J,'[2]SO Warung'!$A:$A,A13,'[2]SO Warung'!$B:$B,B13,'[2]SO Warung'!$D:$D,C13)</f>
        <v>0</v>
      </c>
      <c r="F13" s="36">
        <f t="shared" si="0"/>
        <v>4</v>
      </c>
      <c r="G13" s="37">
        <v>40000</v>
      </c>
      <c r="H13" s="36"/>
    </row>
    <row r="14" spans="1:8" ht="15" thickBot="1" x14ac:dyDescent="0.35">
      <c r="A14" s="35">
        <v>46154</v>
      </c>
      <c r="B14" s="36" t="s">
        <v>22</v>
      </c>
      <c r="C14" s="36">
        <v>9</v>
      </c>
      <c r="D14" s="36">
        <v>12</v>
      </c>
      <c r="E14" s="36">
        <f>SUMIFS('[2]SO Warung'!$J:$J,'[2]SO Warung'!$A:$A,A14,'[2]SO Warung'!$B:$B,B14,'[2]SO Warung'!$D:$D,C14)</f>
        <v>2</v>
      </c>
      <c r="F14" s="36">
        <f t="shared" si="0"/>
        <v>10</v>
      </c>
      <c r="G14" s="37">
        <v>2500</v>
      </c>
      <c r="H14" s="36"/>
    </row>
    <row r="15" spans="1:8" ht="15" thickBot="1" x14ac:dyDescent="0.35">
      <c r="A15" s="35">
        <v>46154</v>
      </c>
      <c r="B15" s="36" t="s">
        <v>23</v>
      </c>
      <c r="C15" s="36">
        <v>9</v>
      </c>
      <c r="D15" s="36">
        <v>10</v>
      </c>
      <c r="E15" s="36">
        <f>SUMIFS('[2]SO Warung'!$J:$J,'[2]SO Warung'!$A:$A,A15,'[2]SO Warung'!$B:$B,B15,'[2]SO Warung'!$D:$D,C15)</f>
        <v>7</v>
      </c>
      <c r="F15" s="36">
        <f t="shared" si="0"/>
        <v>3</v>
      </c>
      <c r="G15" s="37">
        <v>2000</v>
      </c>
      <c r="H15" s="36"/>
    </row>
    <row r="16" spans="1:8" ht="15" thickBot="1" x14ac:dyDescent="0.35">
      <c r="A16" s="35">
        <v>46154</v>
      </c>
      <c r="B16" s="36" t="s">
        <v>24</v>
      </c>
      <c r="C16" s="36">
        <v>9</v>
      </c>
      <c r="D16" s="36">
        <v>10</v>
      </c>
      <c r="E16" s="36">
        <f>SUMIFS('[2]SO Warung'!$J:$J,'[2]SO Warung'!$A:$A,A16,'[2]SO Warung'!$B:$B,B16,'[2]SO Warung'!$D:$D,C16)</f>
        <v>3</v>
      </c>
      <c r="F16" s="36">
        <f t="shared" si="0"/>
        <v>7</v>
      </c>
      <c r="G16" s="37">
        <v>2500</v>
      </c>
      <c r="H16" s="36"/>
    </row>
    <row r="17" spans="1:8" ht="15" thickBot="1" x14ac:dyDescent="0.35">
      <c r="A17" s="35">
        <v>46154</v>
      </c>
      <c r="B17" s="36" t="s">
        <v>25</v>
      </c>
      <c r="C17" s="36">
        <v>9</v>
      </c>
      <c r="D17" s="36">
        <v>15</v>
      </c>
      <c r="E17" s="36">
        <f>SUMIFS('[2]SO Warung'!$J:$J,'[2]SO Warung'!$A:$A,A17,'[2]SO Warung'!$B:$B,B17,'[2]SO Warung'!$D:$D,C17)</f>
        <v>0</v>
      </c>
      <c r="F17" s="36">
        <f t="shared" si="0"/>
        <v>15</v>
      </c>
      <c r="G17" s="37">
        <v>10000</v>
      </c>
      <c r="H17" s="36"/>
    </row>
    <row r="18" spans="1:8" ht="15" thickBot="1" x14ac:dyDescent="0.35">
      <c r="A18" s="35">
        <v>46154</v>
      </c>
      <c r="B18" s="36" t="s">
        <v>26</v>
      </c>
      <c r="C18" s="36">
        <v>9</v>
      </c>
      <c r="D18" s="36">
        <v>10</v>
      </c>
      <c r="E18" s="36">
        <f>SUMIFS('[2]SO Warung'!$J:$J,'[2]SO Warung'!$A:$A,A18,'[2]SO Warung'!$B:$B,B18,'[2]SO Warung'!$D:$D,C18)</f>
        <v>9</v>
      </c>
      <c r="F18" s="36">
        <f t="shared" si="0"/>
        <v>1</v>
      </c>
      <c r="G18" s="37">
        <v>15000</v>
      </c>
      <c r="H18" s="36"/>
    </row>
    <row r="19" spans="1:8" ht="15" thickBot="1" x14ac:dyDescent="0.35">
      <c r="A19" s="35">
        <v>46154</v>
      </c>
      <c r="B19" s="36" t="s">
        <v>27</v>
      </c>
      <c r="C19" s="36">
        <v>9</v>
      </c>
      <c r="D19" s="36">
        <v>7</v>
      </c>
      <c r="E19" s="36">
        <f>SUMIFS('[2]SO Warung'!$J:$J,'[2]SO Warung'!$A:$A,A19,'[2]SO Warung'!$B:$B,B19,'[2]SO Warung'!$D:$D,C19)</f>
        <v>0</v>
      </c>
      <c r="F19" s="36">
        <f t="shared" si="0"/>
        <v>7</v>
      </c>
      <c r="G19" s="37">
        <v>23000</v>
      </c>
      <c r="H19" s="36"/>
    </row>
    <row r="20" spans="1:8" ht="15" thickBot="1" x14ac:dyDescent="0.35">
      <c r="A20" s="35">
        <v>46154</v>
      </c>
      <c r="B20" s="36" t="s">
        <v>28</v>
      </c>
      <c r="C20" s="36">
        <v>9</v>
      </c>
      <c r="D20" s="36">
        <v>8</v>
      </c>
      <c r="E20" s="36">
        <f>SUMIFS('[2]SO Warung'!$J:$J,'[2]SO Warung'!$A:$A,A20,'[2]SO Warung'!$B:$B,B20,'[2]SO Warung'!$D:$D,C20)</f>
        <v>3</v>
      </c>
      <c r="F20" s="36">
        <f t="shared" si="0"/>
        <v>5</v>
      </c>
      <c r="G20" s="37">
        <v>11000</v>
      </c>
      <c r="H20" s="36"/>
    </row>
    <row r="21" spans="1:8" ht="15" thickBot="1" x14ac:dyDescent="0.35">
      <c r="A21" s="35">
        <v>46154</v>
      </c>
      <c r="B21" s="36" t="s">
        <v>29</v>
      </c>
      <c r="C21" s="36">
        <v>9</v>
      </c>
      <c r="D21" s="36">
        <v>6</v>
      </c>
      <c r="E21" s="36">
        <f>SUMIFS('[2]SO Warung'!$J:$J,'[2]SO Warung'!$A:$A,A21,'[2]SO Warung'!$B:$B,B21,'[2]SO Warung'!$D:$D,C21)</f>
        <v>1</v>
      </c>
      <c r="F21" s="36">
        <f t="shared" si="0"/>
        <v>5</v>
      </c>
      <c r="G21" s="37">
        <v>14500</v>
      </c>
      <c r="H21" s="36"/>
    </row>
    <row r="22" spans="1:8" ht="15" thickBot="1" x14ac:dyDescent="0.35">
      <c r="A22" s="35">
        <v>46154</v>
      </c>
      <c r="B22" s="36" t="s">
        <v>30</v>
      </c>
      <c r="C22" s="36">
        <v>9</v>
      </c>
      <c r="D22" s="36">
        <v>20</v>
      </c>
      <c r="E22" s="36">
        <f>SUMIFS('[2]SO Warung'!$J:$J,'[2]SO Warung'!$A:$A,A22,'[2]SO Warung'!$B:$B,B22,'[2]SO Warung'!$D:$D,C22)</f>
        <v>4</v>
      </c>
      <c r="F22" s="36">
        <f t="shared" si="0"/>
        <v>16</v>
      </c>
      <c r="G22" s="37">
        <v>3500</v>
      </c>
      <c r="H22" s="36"/>
    </row>
    <row r="23" spans="1:8" ht="15" thickBot="1" x14ac:dyDescent="0.35">
      <c r="A23" s="35">
        <v>46154</v>
      </c>
      <c r="B23" s="36" t="s">
        <v>34</v>
      </c>
      <c r="C23" s="36">
        <v>9</v>
      </c>
      <c r="D23" s="36">
        <v>8</v>
      </c>
      <c r="E23" s="36">
        <f>SUMIFS('[2]SO Warung'!$J:$J,'[2]SO Warung'!$A:$A,A23,'[2]SO Warung'!$B:$B,B23,'[2]SO Warung'!$D:$D,C23)</f>
        <v>3</v>
      </c>
      <c r="F23" s="36">
        <f t="shared" si="0"/>
        <v>5</v>
      </c>
      <c r="G23" s="37">
        <v>5500</v>
      </c>
      <c r="H23" s="36"/>
    </row>
    <row r="24" spans="1:8" ht="15" thickBot="1" x14ac:dyDescent="0.35">
      <c r="A24" s="35">
        <v>46154</v>
      </c>
      <c r="B24" s="36" t="s">
        <v>35</v>
      </c>
      <c r="C24" s="36">
        <v>9</v>
      </c>
      <c r="D24" s="36">
        <v>3</v>
      </c>
      <c r="E24" s="36">
        <f>SUMIFS('[2]SO Warung'!$J:$J,'[2]SO Warung'!$A:$A,A24,'[2]SO Warung'!$B:$B,B24,'[2]SO Warung'!$D:$D,C24)</f>
        <v>1</v>
      </c>
      <c r="F24" s="36">
        <f t="shared" si="0"/>
        <v>2</v>
      </c>
      <c r="G24" s="37">
        <v>9000</v>
      </c>
      <c r="H24" s="3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FA79A-F4E4-42E2-9FA9-4D82E435DBE3}">
  <dimension ref="A1:H323"/>
  <sheetViews>
    <sheetView topLeftCell="A40" zoomScaleNormal="100" workbookViewId="0">
      <selection activeCell="G52" sqref="G52"/>
    </sheetView>
  </sheetViews>
  <sheetFormatPr defaultRowHeight="14.4" x14ac:dyDescent="0.3"/>
  <cols>
    <col min="1" max="1" width="8.6640625" bestFit="1" customWidth="1"/>
    <col min="2" max="2" width="27.33203125" bestFit="1" customWidth="1"/>
  </cols>
  <sheetData>
    <row r="1" spans="1:4" x14ac:dyDescent="0.3">
      <c r="A1" s="38" t="s">
        <v>0</v>
      </c>
      <c r="B1" s="39" t="s">
        <v>36</v>
      </c>
      <c r="C1" s="39" t="s">
        <v>42</v>
      </c>
      <c r="D1" s="39" t="s">
        <v>38</v>
      </c>
    </row>
    <row r="2" spans="1:4" x14ac:dyDescent="0.3">
      <c r="A2" s="26">
        <v>46153</v>
      </c>
      <c r="B2" s="28" t="s">
        <v>12</v>
      </c>
      <c r="C2" s="27">
        <v>0</v>
      </c>
      <c r="D2" s="27">
        <v>0</v>
      </c>
    </row>
    <row r="3" spans="1:4" x14ac:dyDescent="0.3">
      <c r="A3" s="26">
        <v>46153</v>
      </c>
      <c r="B3" s="28" t="s">
        <v>13</v>
      </c>
      <c r="C3" s="27">
        <v>0</v>
      </c>
      <c r="D3" s="27">
        <v>55</v>
      </c>
    </row>
    <row r="4" spans="1:4" x14ac:dyDescent="0.3">
      <c r="A4" s="26">
        <v>46153</v>
      </c>
      <c r="B4" s="28" t="s">
        <v>14</v>
      </c>
      <c r="C4" s="27">
        <v>0</v>
      </c>
      <c r="D4" s="27">
        <v>0</v>
      </c>
    </row>
    <row r="5" spans="1:4" x14ac:dyDescent="0.3">
      <c r="A5" s="26">
        <v>46153</v>
      </c>
      <c r="B5" s="28" t="s">
        <v>15</v>
      </c>
      <c r="C5" s="27">
        <v>0</v>
      </c>
      <c r="D5" s="27">
        <v>0</v>
      </c>
    </row>
    <row r="6" spans="1:4" x14ac:dyDescent="0.3">
      <c r="A6" s="26">
        <v>46153</v>
      </c>
      <c r="B6" s="28" t="s">
        <v>16</v>
      </c>
      <c r="C6" s="27">
        <v>0</v>
      </c>
      <c r="D6" s="27">
        <v>15</v>
      </c>
    </row>
    <row r="7" spans="1:4" x14ac:dyDescent="0.3">
      <c r="A7" s="26">
        <v>46153</v>
      </c>
      <c r="B7" s="28" t="s">
        <v>17</v>
      </c>
      <c r="C7" s="27">
        <v>0</v>
      </c>
      <c r="D7" s="27">
        <v>0</v>
      </c>
    </row>
    <row r="8" spans="1:4" x14ac:dyDescent="0.3">
      <c r="A8" s="26">
        <v>46153</v>
      </c>
      <c r="B8" s="28" t="s">
        <v>31</v>
      </c>
      <c r="C8" s="27">
        <v>0</v>
      </c>
      <c r="D8" s="27">
        <v>0</v>
      </c>
    </row>
    <row r="9" spans="1:4" x14ac:dyDescent="0.3">
      <c r="A9" s="26">
        <v>46153</v>
      </c>
      <c r="B9" s="28" t="s">
        <v>32</v>
      </c>
      <c r="C9" s="27">
        <v>0</v>
      </c>
      <c r="D9" s="27">
        <v>2</v>
      </c>
    </row>
    <row r="10" spans="1:4" x14ac:dyDescent="0.3">
      <c r="A10" s="26">
        <v>46153</v>
      </c>
      <c r="B10" s="28" t="s">
        <v>33</v>
      </c>
      <c r="C10" s="27">
        <v>0</v>
      </c>
      <c r="D10" s="27">
        <v>15</v>
      </c>
    </row>
    <row r="11" spans="1:4" x14ac:dyDescent="0.3">
      <c r="A11" s="26">
        <v>46153</v>
      </c>
      <c r="B11" s="28" t="s">
        <v>21</v>
      </c>
      <c r="C11" s="27">
        <v>0</v>
      </c>
      <c r="D11" s="27">
        <v>23</v>
      </c>
    </row>
    <row r="12" spans="1:4" x14ac:dyDescent="0.3">
      <c r="A12" s="26">
        <v>46153</v>
      </c>
      <c r="B12" s="28" t="s">
        <v>22</v>
      </c>
      <c r="C12" s="27">
        <v>0</v>
      </c>
      <c r="D12" s="27">
        <v>0</v>
      </c>
    </row>
    <row r="13" spans="1:4" x14ac:dyDescent="0.3">
      <c r="A13" s="26">
        <v>46153</v>
      </c>
      <c r="B13" s="28" t="s">
        <v>23</v>
      </c>
      <c r="C13" s="27">
        <v>0</v>
      </c>
      <c r="D13" s="27">
        <v>90</v>
      </c>
    </row>
    <row r="14" spans="1:4" x14ac:dyDescent="0.3">
      <c r="A14" s="26">
        <v>46153</v>
      </c>
      <c r="B14" s="28" t="s">
        <v>24</v>
      </c>
      <c r="C14" s="27">
        <v>0</v>
      </c>
      <c r="D14" s="27">
        <v>90</v>
      </c>
    </row>
    <row r="15" spans="1:4" x14ac:dyDescent="0.3">
      <c r="A15" s="26">
        <v>46153</v>
      </c>
      <c r="B15" s="28" t="s">
        <v>25</v>
      </c>
      <c r="C15" s="27">
        <v>0</v>
      </c>
      <c r="D15" s="27">
        <v>6</v>
      </c>
    </row>
    <row r="16" spans="1:4" x14ac:dyDescent="0.3">
      <c r="A16" s="26">
        <v>46153</v>
      </c>
      <c r="B16" s="28" t="s">
        <v>26</v>
      </c>
      <c r="C16" s="27">
        <v>0</v>
      </c>
      <c r="D16" s="27">
        <v>30</v>
      </c>
    </row>
    <row r="17" spans="1:4" x14ac:dyDescent="0.3">
      <c r="A17" s="26">
        <v>46153</v>
      </c>
      <c r="B17" s="28" t="s">
        <v>27</v>
      </c>
      <c r="C17" s="27">
        <v>0</v>
      </c>
      <c r="D17" s="27">
        <v>0</v>
      </c>
    </row>
    <row r="18" spans="1:4" x14ac:dyDescent="0.3">
      <c r="A18" s="26">
        <v>46153</v>
      </c>
      <c r="B18" s="28" t="s">
        <v>28</v>
      </c>
      <c r="C18" s="27">
        <v>0</v>
      </c>
      <c r="D18" s="27">
        <v>18</v>
      </c>
    </row>
    <row r="19" spans="1:4" x14ac:dyDescent="0.3">
      <c r="A19" s="26">
        <v>46153</v>
      </c>
      <c r="B19" s="28" t="s">
        <v>29</v>
      </c>
      <c r="C19" s="27">
        <v>0</v>
      </c>
      <c r="D19" s="27">
        <v>0</v>
      </c>
    </row>
    <row r="20" spans="1:4" x14ac:dyDescent="0.3">
      <c r="A20" s="26">
        <v>46153</v>
      </c>
      <c r="B20" s="28" t="s">
        <v>30</v>
      </c>
      <c r="C20" s="27">
        <v>0</v>
      </c>
      <c r="D20" s="27">
        <v>1</v>
      </c>
    </row>
    <row r="21" spans="1:4" x14ac:dyDescent="0.3">
      <c r="A21" s="26">
        <v>46153</v>
      </c>
      <c r="B21" s="28" t="s">
        <v>34</v>
      </c>
      <c r="C21" s="27">
        <v>0</v>
      </c>
      <c r="D21" s="27">
        <v>28</v>
      </c>
    </row>
    <row r="22" spans="1:4" x14ac:dyDescent="0.3">
      <c r="A22" s="26">
        <v>46153</v>
      </c>
      <c r="B22" s="28" t="s">
        <v>43</v>
      </c>
      <c r="C22" s="27">
        <v>0</v>
      </c>
      <c r="D22" s="27">
        <v>0</v>
      </c>
    </row>
    <row r="23" spans="1:4" x14ac:dyDescent="0.3">
      <c r="A23" s="29">
        <v>46154</v>
      </c>
      <c r="B23" s="30" t="s">
        <v>12</v>
      </c>
      <c r="C23" s="30">
        <v>0</v>
      </c>
      <c r="D23" s="30">
        <v>0</v>
      </c>
    </row>
    <row r="24" spans="1:4" x14ac:dyDescent="0.3">
      <c r="A24" s="29">
        <v>46154</v>
      </c>
      <c r="B24" s="30" t="s">
        <v>13</v>
      </c>
      <c r="C24" s="30">
        <v>0</v>
      </c>
      <c r="D24" s="30">
        <v>40</v>
      </c>
    </row>
    <row r="25" spans="1:4" x14ac:dyDescent="0.3">
      <c r="A25" s="29">
        <v>46154</v>
      </c>
      <c r="B25" s="30" t="s">
        <v>14</v>
      </c>
      <c r="C25" s="30">
        <v>0</v>
      </c>
      <c r="D25" s="30">
        <v>0</v>
      </c>
    </row>
    <row r="26" spans="1:4" x14ac:dyDescent="0.3">
      <c r="A26" s="29">
        <v>46154</v>
      </c>
      <c r="B26" s="30" t="s">
        <v>15</v>
      </c>
      <c r="C26" s="30">
        <v>0</v>
      </c>
      <c r="D26" s="30">
        <v>0</v>
      </c>
    </row>
    <row r="27" spans="1:4" x14ac:dyDescent="0.3">
      <c r="A27" s="29">
        <v>46154</v>
      </c>
      <c r="B27" s="30" t="s">
        <v>16</v>
      </c>
      <c r="C27" s="30">
        <v>0</v>
      </c>
      <c r="D27" s="30">
        <v>0</v>
      </c>
    </row>
    <row r="28" spans="1:4" x14ac:dyDescent="0.3">
      <c r="A28" s="29">
        <v>46154</v>
      </c>
      <c r="B28" s="30" t="s">
        <v>17</v>
      </c>
      <c r="C28" s="30">
        <v>15</v>
      </c>
      <c r="D28" s="30">
        <v>15</v>
      </c>
    </row>
    <row r="29" spans="1:4" x14ac:dyDescent="0.3">
      <c r="A29" s="29">
        <v>46154</v>
      </c>
      <c r="B29" s="30" t="s">
        <v>31</v>
      </c>
      <c r="C29" s="30">
        <v>0</v>
      </c>
      <c r="D29" s="30">
        <v>0</v>
      </c>
    </row>
    <row r="30" spans="1:4" x14ac:dyDescent="0.3">
      <c r="A30" s="29">
        <v>46154</v>
      </c>
      <c r="B30" s="30" t="s">
        <v>32</v>
      </c>
      <c r="C30" s="30">
        <v>0</v>
      </c>
      <c r="D30" s="30">
        <v>0</v>
      </c>
    </row>
    <row r="31" spans="1:4" x14ac:dyDescent="0.3">
      <c r="A31" s="29">
        <v>46154</v>
      </c>
      <c r="B31" s="30" t="s">
        <v>33</v>
      </c>
      <c r="C31" s="30">
        <v>0</v>
      </c>
      <c r="D31" s="30">
        <v>15</v>
      </c>
    </row>
    <row r="32" spans="1:4" x14ac:dyDescent="0.3">
      <c r="A32" s="29">
        <v>46154</v>
      </c>
      <c r="B32" s="30" t="s">
        <v>21</v>
      </c>
      <c r="C32" s="30">
        <v>0</v>
      </c>
      <c r="D32" s="30">
        <v>21</v>
      </c>
    </row>
    <row r="33" spans="1:4" x14ac:dyDescent="0.3">
      <c r="A33" s="29">
        <v>46154</v>
      </c>
      <c r="B33" s="30" t="s">
        <v>22</v>
      </c>
      <c r="C33" s="30">
        <v>0</v>
      </c>
      <c r="D33" s="30">
        <v>0</v>
      </c>
    </row>
    <row r="34" spans="1:4" x14ac:dyDescent="0.3">
      <c r="A34" s="29">
        <v>46154</v>
      </c>
      <c r="B34" s="30" t="s">
        <v>23</v>
      </c>
      <c r="C34" s="30">
        <v>0</v>
      </c>
      <c r="D34" s="30">
        <v>77</v>
      </c>
    </row>
    <row r="35" spans="1:4" x14ac:dyDescent="0.3">
      <c r="A35" s="29">
        <v>46154</v>
      </c>
      <c r="B35" s="30" t="s">
        <v>24</v>
      </c>
      <c r="C35" s="30">
        <v>0</v>
      </c>
      <c r="D35" s="30">
        <v>65</v>
      </c>
    </row>
    <row r="36" spans="1:4" x14ac:dyDescent="0.3">
      <c r="A36" s="29">
        <v>46154</v>
      </c>
      <c r="B36" s="30" t="s">
        <v>25</v>
      </c>
      <c r="C36" s="30">
        <v>0</v>
      </c>
      <c r="D36" s="30">
        <v>3</v>
      </c>
    </row>
    <row r="37" spans="1:4" x14ac:dyDescent="0.3">
      <c r="A37" s="29">
        <v>46154</v>
      </c>
      <c r="B37" s="30" t="s">
        <v>26</v>
      </c>
      <c r="C37" s="30">
        <v>0</v>
      </c>
      <c r="D37" s="30">
        <v>11</v>
      </c>
    </row>
    <row r="38" spans="1:4" x14ac:dyDescent="0.3">
      <c r="A38" s="29">
        <v>46154</v>
      </c>
      <c r="B38" s="30" t="s">
        <v>27</v>
      </c>
      <c r="C38" s="30">
        <v>0</v>
      </c>
      <c r="D38" s="30">
        <v>0</v>
      </c>
    </row>
    <row r="39" spans="1:4" x14ac:dyDescent="0.3">
      <c r="A39" s="29">
        <v>46154</v>
      </c>
      <c r="B39" s="30" t="s">
        <v>28</v>
      </c>
      <c r="C39" s="30">
        <v>0</v>
      </c>
      <c r="D39" s="30">
        <v>12</v>
      </c>
    </row>
    <row r="40" spans="1:4" x14ac:dyDescent="0.3">
      <c r="A40" s="29">
        <v>46154</v>
      </c>
      <c r="B40" s="30" t="s">
        <v>29</v>
      </c>
      <c r="C40" s="30">
        <v>0</v>
      </c>
      <c r="D40" s="30">
        <v>0</v>
      </c>
    </row>
    <row r="41" spans="1:4" x14ac:dyDescent="0.3">
      <c r="A41" s="29">
        <v>46154</v>
      </c>
      <c r="B41" s="30" t="s">
        <v>30</v>
      </c>
      <c r="C41" s="30">
        <v>0</v>
      </c>
      <c r="D41" s="30">
        <v>0</v>
      </c>
    </row>
    <row r="42" spans="1:4" x14ac:dyDescent="0.3">
      <c r="A42" s="29">
        <v>46154</v>
      </c>
      <c r="B42" s="30" t="s">
        <v>34</v>
      </c>
      <c r="C42" s="30">
        <v>0</v>
      </c>
      <c r="D42" s="30">
        <v>17</v>
      </c>
    </row>
    <row r="43" spans="1:4" x14ac:dyDescent="0.3">
      <c r="A43" s="29">
        <v>46154</v>
      </c>
      <c r="B43" s="30" t="s">
        <v>43</v>
      </c>
      <c r="C43" s="30">
        <v>0</v>
      </c>
      <c r="D43" s="30">
        <v>0</v>
      </c>
    </row>
    <row r="44" spans="1:4" x14ac:dyDescent="0.3">
      <c r="A44" s="31">
        <v>46155</v>
      </c>
      <c r="B44" s="32" t="s">
        <v>12</v>
      </c>
      <c r="C44" s="32">
        <v>0</v>
      </c>
      <c r="D44" s="32">
        <v>0</v>
      </c>
    </row>
    <row r="45" spans="1:4" x14ac:dyDescent="0.3">
      <c r="A45" s="31">
        <v>46155</v>
      </c>
      <c r="B45" s="32" t="s">
        <v>13</v>
      </c>
      <c r="C45" s="32">
        <v>0</v>
      </c>
      <c r="D45" s="32">
        <v>25</v>
      </c>
    </row>
    <row r="46" spans="1:4" x14ac:dyDescent="0.3">
      <c r="A46" s="31">
        <v>46155</v>
      </c>
      <c r="B46" s="32" t="s">
        <v>14</v>
      </c>
      <c r="C46" s="32">
        <v>0</v>
      </c>
      <c r="D46" s="32">
        <v>0</v>
      </c>
    </row>
    <row r="47" spans="1:4" x14ac:dyDescent="0.3">
      <c r="A47" s="31">
        <v>46155</v>
      </c>
      <c r="B47" s="32" t="s">
        <v>15</v>
      </c>
      <c r="C47" s="32">
        <v>0</v>
      </c>
      <c r="D47" s="32">
        <v>0</v>
      </c>
    </row>
    <row r="48" spans="1:4" x14ac:dyDescent="0.3">
      <c r="A48" s="31">
        <v>46155</v>
      </c>
      <c r="B48" s="32" t="s">
        <v>16</v>
      </c>
      <c r="C48" s="32">
        <v>7</v>
      </c>
      <c r="D48" s="32">
        <v>7</v>
      </c>
    </row>
    <row r="49" spans="1:4" x14ac:dyDescent="0.3">
      <c r="A49" s="31">
        <v>46155</v>
      </c>
      <c r="B49" s="32" t="s">
        <v>17</v>
      </c>
      <c r="C49" s="32">
        <v>0</v>
      </c>
      <c r="D49" s="32">
        <v>2</v>
      </c>
    </row>
    <row r="50" spans="1:4" x14ac:dyDescent="0.3">
      <c r="A50" s="31">
        <v>46155</v>
      </c>
      <c r="B50" s="32" t="s">
        <v>31</v>
      </c>
      <c r="C50" s="32">
        <v>0</v>
      </c>
      <c r="D50" s="32">
        <v>0</v>
      </c>
    </row>
    <row r="51" spans="1:4" x14ac:dyDescent="0.3">
      <c r="A51" s="31">
        <v>46155</v>
      </c>
      <c r="B51" s="32" t="s">
        <v>32</v>
      </c>
      <c r="C51" s="32">
        <v>0</v>
      </c>
      <c r="D51" s="32">
        <v>0</v>
      </c>
    </row>
    <row r="52" spans="1:4" x14ac:dyDescent="0.3">
      <c r="A52" s="31">
        <v>46155</v>
      </c>
      <c r="B52" s="32" t="s">
        <v>33</v>
      </c>
      <c r="C52" s="32">
        <v>0</v>
      </c>
      <c r="D52" s="32">
        <v>14</v>
      </c>
    </row>
    <row r="53" spans="1:4" x14ac:dyDescent="0.3">
      <c r="A53" s="31">
        <v>46155</v>
      </c>
      <c r="B53" s="32" t="s">
        <v>21</v>
      </c>
      <c r="C53" s="32">
        <v>0</v>
      </c>
      <c r="D53" s="32">
        <v>17</v>
      </c>
    </row>
    <row r="54" spans="1:4" x14ac:dyDescent="0.3">
      <c r="A54" s="31">
        <v>46155</v>
      </c>
      <c r="B54" s="32" t="s">
        <v>22</v>
      </c>
      <c r="C54" s="32">
        <v>0</v>
      </c>
      <c r="D54" s="32">
        <v>0</v>
      </c>
    </row>
    <row r="55" spans="1:4" x14ac:dyDescent="0.3">
      <c r="A55" s="31">
        <v>46155</v>
      </c>
      <c r="B55" s="32" t="s">
        <v>23</v>
      </c>
      <c r="C55" s="32">
        <v>0</v>
      </c>
      <c r="D55" s="32">
        <v>59</v>
      </c>
    </row>
    <row r="56" spans="1:4" x14ac:dyDescent="0.3">
      <c r="A56" s="31">
        <v>46155</v>
      </c>
      <c r="B56" s="32" t="s">
        <v>24</v>
      </c>
      <c r="C56" s="32">
        <v>0</v>
      </c>
      <c r="D56" s="32">
        <v>57</v>
      </c>
    </row>
    <row r="57" spans="1:4" x14ac:dyDescent="0.3">
      <c r="A57" s="31">
        <v>46155</v>
      </c>
      <c r="B57" s="32" t="s">
        <v>25</v>
      </c>
      <c r="C57" s="32">
        <v>20</v>
      </c>
      <c r="D57" s="32">
        <v>16</v>
      </c>
    </row>
    <row r="58" spans="1:4" x14ac:dyDescent="0.3">
      <c r="A58" s="31">
        <v>46155</v>
      </c>
      <c r="B58" s="32" t="s">
        <v>26</v>
      </c>
      <c r="C58" s="32">
        <v>20</v>
      </c>
      <c r="D58" s="32">
        <v>16</v>
      </c>
    </row>
    <row r="59" spans="1:4" x14ac:dyDescent="0.3">
      <c r="A59" s="31">
        <v>46155</v>
      </c>
      <c r="B59" s="32" t="s">
        <v>27</v>
      </c>
      <c r="C59" s="32">
        <v>0</v>
      </c>
      <c r="D59" s="32">
        <v>0</v>
      </c>
    </row>
    <row r="60" spans="1:4" x14ac:dyDescent="0.3">
      <c r="A60" s="31">
        <v>46155</v>
      </c>
      <c r="B60" s="32" t="s">
        <v>28</v>
      </c>
      <c r="C60" s="32">
        <v>0</v>
      </c>
      <c r="D60" s="32">
        <v>3</v>
      </c>
    </row>
    <row r="61" spans="1:4" x14ac:dyDescent="0.3">
      <c r="A61" s="31">
        <v>46155</v>
      </c>
      <c r="B61" s="32" t="s">
        <v>29</v>
      </c>
      <c r="C61" s="32">
        <v>0</v>
      </c>
      <c r="D61" s="32">
        <v>0</v>
      </c>
    </row>
    <row r="62" spans="1:4" x14ac:dyDescent="0.3">
      <c r="A62" s="31">
        <v>46155</v>
      </c>
      <c r="B62" s="32" t="s">
        <v>30</v>
      </c>
      <c r="C62" s="32">
        <v>0</v>
      </c>
      <c r="D62" s="32">
        <v>0</v>
      </c>
    </row>
    <row r="63" spans="1:4" x14ac:dyDescent="0.3">
      <c r="A63" s="31">
        <v>46155</v>
      </c>
      <c r="B63" s="32" t="s">
        <v>34</v>
      </c>
      <c r="C63" s="32">
        <v>0</v>
      </c>
      <c r="D63" s="32">
        <v>11</v>
      </c>
    </row>
    <row r="64" spans="1:4" x14ac:dyDescent="0.3">
      <c r="A64" s="31">
        <v>46155</v>
      </c>
      <c r="B64" s="32" t="s">
        <v>43</v>
      </c>
      <c r="C64" s="32">
        <v>0</v>
      </c>
      <c r="D64" s="32">
        <v>0</v>
      </c>
    </row>
    <row r="323" spans="8:8" x14ac:dyDescent="0.3">
      <c r="H323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stock_harian</vt:lpstr>
      <vt:lpstr>karyawan</vt:lpstr>
      <vt:lpstr>lantai3</vt:lpstr>
      <vt:lpstr>lantai8</vt:lpstr>
      <vt:lpstr>lantai9</vt:lpstr>
      <vt:lpstr>Inventory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Andi Farras Thariq Hasibuan</dc:creator>
  <cp:keywords/>
  <dc:description/>
  <cp:lastModifiedBy>Andi Farras Thariq Hasibuan</cp:lastModifiedBy>
  <cp:revision/>
  <dcterms:created xsi:type="dcterms:W3CDTF">2026-05-12T04:54:52Z</dcterms:created>
  <dcterms:modified xsi:type="dcterms:W3CDTF">2026-05-13T05:59:01Z</dcterms:modified>
  <cp:category/>
  <cp:contentStatus/>
</cp:coreProperties>
</file>