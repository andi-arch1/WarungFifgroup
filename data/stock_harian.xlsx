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ifo365-my.sharepoint.com/personal/68766_fif_co_id/Documents/"/>
    </mc:Choice>
  </mc:AlternateContent>
  <xr:revisionPtr revIDLastSave="712" documentId="8_{8EAF207E-0644-4A14-8133-8B1A9C3F05A1}" xr6:coauthVersionLast="47" xr6:coauthVersionMax="47" xr10:uidLastSave="{BCEA5620-9ACA-4339-94F1-732D85FFED0C}"/>
  <bookViews>
    <workbookView xWindow="-108" yWindow="-108" windowWidth="23256" windowHeight="13896" firstSheet="1" activeTab="6" xr2:uid="{503EE100-7F29-40DA-810E-518CED29D0C3}"/>
  </bookViews>
  <sheets>
    <sheet name="Total Item Terjual" sheetId="7" r:id="rId1"/>
    <sheet name="stock_harian" sheetId="1" r:id="rId2"/>
    <sheet name="karyawan" sheetId="6" r:id="rId3"/>
    <sheet name="lantai3" sheetId="3" r:id="rId4"/>
    <sheet name="lantai8" sheetId="4" r:id="rId5"/>
    <sheet name="lantai9" sheetId="5" r:id="rId6"/>
    <sheet name="Inventory" sheetId="2" r:id="rId7"/>
    <sheet name="Rekap Stock" sheetId="8" r:id="rId8"/>
  </sheets>
  <externalReferences>
    <externalReference r:id="rId9"/>
    <externalReference r:id="rId10"/>
  </externalReferences>
  <definedNames>
    <definedName name="_xlnm._FilterDatabase" localSheetId="1" hidden="1">stock_harian!$A$1:$O$574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575" i="1" l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D575" i="1"/>
  <c r="E575" i="1"/>
  <c r="F575" i="1"/>
  <c r="D576" i="1"/>
  <c r="E576" i="1"/>
  <c r="F576" i="1"/>
  <c r="D577" i="1"/>
  <c r="E577" i="1"/>
  <c r="F577" i="1"/>
  <c r="D578" i="1"/>
  <c r="E578" i="1"/>
  <c r="F578" i="1"/>
  <c r="D579" i="1"/>
  <c r="E579" i="1"/>
  <c r="F579" i="1"/>
  <c r="D580" i="1"/>
  <c r="E580" i="1"/>
  <c r="F580" i="1"/>
  <c r="D581" i="1"/>
  <c r="E581" i="1"/>
  <c r="F581" i="1"/>
  <c r="D582" i="1"/>
  <c r="E582" i="1"/>
  <c r="F582" i="1"/>
  <c r="D583" i="1"/>
  <c r="E583" i="1"/>
  <c r="F583" i="1"/>
  <c r="D584" i="1"/>
  <c r="E584" i="1"/>
  <c r="F584" i="1"/>
  <c r="D585" i="1"/>
  <c r="E585" i="1"/>
  <c r="F585" i="1"/>
  <c r="D586" i="1"/>
  <c r="E586" i="1"/>
  <c r="F586" i="1"/>
  <c r="D587" i="1"/>
  <c r="E587" i="1"/>
  <c r="F587" i="1"/>
  <c r="D588" i="1"/>
  <c r="E588" i="1"/>
  <c r="F588" i="1"/>
  <c r="D589" i="1"/>
  <c r="E589" i="1"/>
  <c r="F589" i="1"/>
  <c r="D590" i="1"/>
  <c r="E590" i="1"/>
  <c r="F590" i="1"/>
  <c r="D591" i="1"/>
  <c r="E591" i="1"/>
  <c r="F591" i="1"/>
  <c r="D592" i="1"/>
  <c r="E592" i="1"/>
  <c r="F592" i="1"/>
  <c r="D593" i="1"/>
  <c r="E593" i="1"/>
  <c r="F593" i="1"/>
  <c r="D594" i="1"/>
  <c r="E594" i="1"/>
  <c r="F594" i="1"/>
  <c r="D595" i="1"/>
  <c r="E595" i="1"/>
  <c r="F595" i="1"/>
  <c r="D596" i="1"/>
  <c r="E596" i="1"/>
  <c r="F596" i="1"/>
  <c r="D597" i="1"/>
  <c r="E597" i="1"/>
  <c r="F597" i="1"/>
  <c r="D598" i="1"/>
  <c r="E598" i="1"/>
  <c r="F598" i="1"/>
  <c r="D599" i="1"/>
  <c r="E599" i="1"/>
  <c r="F599" i="1"/>
  <c r="D600" i="1"/>
  <c r="E600" i="1"/>
  <c r="F600" i="1"/>
  <c r="D601" i="1"/>
  <c r="E601" i="1"/>
  <c r="F601" i="1"/>
  <c r="D602" i="1"/>
  <c r="E602" i="1"/>
  <c r="F602" i="1"/>
  <c r="D603" i="1"/>
  <c r="E603" i="1"/>
  <c r="F603" i="1"/>
  <c r="D604" i="1"/>
  <c r="E604" i="1"/>
  <c r="F604" i="1"/>
  <c r="D605" i="1"/>
  <c r="E605" i="1"/>
  <c r="F605" i="1"/>
  <c r="D606" i="1"/>
  <c r="E606" i="1"/>
  <c r="F606" i="1"/>
  <c r="D607" i="1"/>
  <c r="E607" i="1"/>
  <c r="F607" i="1"/>
  <c r="D608" i="1"/>
  <c r="E608" i="1"/>
  <c r="F608" i="1"/>
  <c r="D609" i="1"/>
  <c r="E609" i="1"/>
  <c r="F609" i="1"/>
  <c r="D610" i="1"/>
  <c r="E610" i="1"/>
  <c r="F610" i="1"/>
  <c r="D611" i="1"/>
  <c r="E611" i="1"/>
  <c r="F611" i="1"/>
  <c r="D612" i="1"/>
  <c r="E612" i="1"/>
  <c r="F612" i="1"/>
  <c r="D613" i="1"/>
  <c r="E613" i="1"/>
  <c r="F613" i="1"/>
  <c r="D614" i="1"/>
  <c r="E614" i="1"/>
  <c r="F614" i="1"/>
  <c r="D615" i="1"/>
  <c r="E615" i="1"/>
  <c r="F615" i="1"/>
  <c r="D616" i="1"/>
  <c r="E616" i="1"/>
  <c r="F616" i="1"/>
  <c r="D617" i="1"/>
  <c r="E617" i="1"/>
  <c r="F617" i="1"/>
  <c r="D618" i="1"/>
  <c r="E618" i="1"/>
  <c r="F618" i="1"/>
  <c r="D619" i="1"/>
  <c r="E619" i="1"/>
  <c r="F619" i="1"/>
  <c r="D620" i="1"/>
  <c r="E620" i="1"/>
  <c r="F620" i="1"/>
  <c r="D621" i="1"/>
  <c r="E621" i="1"/>
  <c r="F621" i="1"/>
  <c r="D622" i="1"/>
  <c r="E622" i="1"/>
  <c r="F622" i="1"/>
  <c r="D623" i="1"/>
  <c r="E623" i="1"/>
  <c r="F623" i="1"/>
  <c r="D624" i="1"/>
  <c r="E624" i="1"/>
  <c r="F624" i="1"/>
  <c r="D625" i="1"/>
  <c r="E625" i="1"/>
  <c r="F625" i="1"/>
  <c r="D626" i="1"/>
  <c r="E626" i="1"/>
  <c r="F626" i="1"/>
  <c r="D627" i="1"/>
  <c r="E627" i="1"/>
  <c r="F627" i="1"/>
  <c r="D628" i="1"/>
  <c r="E628" i="1"/>
  <c r="F628" i="1"/>
  <c r="D629" i="1"/>
  <c r="E629" i="1"/>
  <c r="F629" i="1"/>
  <c r="D630" i="1"/>
  <c r="E630" i="1"/>
  <c r="F630" i="1"/>
  <c r="D631" i="1"/>
  <c r="E631" i="1"/>
  <c r="F631" i="1"/>
  <c r="D632" i="1"/>
  <c r="E632" i="1"/>
  <c r="F632" i="1"/>
  <c r="D633" i="1"/>
  <c r="E633" i="1"/>
  <c r="F633" i="1"/>
  <c r="D634" i="1"/>
  <c r="E634" i="1"/>
  <c r="F634" i="1"/>
  <c r="D635" i="1"/>
  <c r="E635" i="1"/>
  <c r="F635" i="1"/>
  <c r="D636" i="1"/>
  <c r="E636" i="1"/>
  <c r="F636" i="1"/>
  <c r="D637" i="1"/>
  <c r="E637" i="1"/>
  <c r="F637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56" i="1" s="1"/>
  <c r="H536" i="1"/>
  <c r="H537" i="1"/>
  <c r="H538" i="1"/>
  <c r="H559" i="1" s="1"/>
  <c r="H539" i="1"/>
  <c r="H540" i="1"/>
  <c r="H541" i="1"/>
  <c r="H562" i="1" s="1"/>
  <c r="H542" i="1"/>
  <c r="H543" i="1"/>
  <c r="H544" i="1"/>
  <c r="H565" i="1" s="1"/>
  <c r="H545" i="1"/>
  <c r="H566" i="1" s="1"/>
  <c r="H546" i="1"/>
  <c r="H567" i="1" s="1"/>
  <c r="H547" i="1"/>
  <c r="H548" i="1"/>
  <c r="H549" i="1"/>
  <c r="H570" i="1" s="1"/>
  <c r="H550" i="1"/>
  <c r="H551" i="1"/>
  <c r="H552" i="1"/>
  <c r="H573" i="1" s="1"/>
  <c r="H553" i="1"/>
  <c r="H554" i="1"/>
  <c r="H555" i="1"/>
  <c r="H557" i="1"/>
  <c r="H558" i="1"/>
  <c r="H560" i="1"/>
  <c r="H561" i="1"/>
  <c r="H563" i="1"/>
  <c r="H564" i="1"/>
  <c r="H568" i="1"/>
  <c r="H569" i="1"/>
  <c r="H571" i="1"/>
  <c r="H572" i="1"/>
  <c r="H574" i="1"/>
  <c r="I512" i="1"/>
  <c r="N512" i="1" s="1"/>
  <c r="I513" i="1"/>
  <c r="N513" i="1" s="1"/>
  <c r="I514" i="1"/>
  <c r="N514" i="1" s="1"/>
  <c r="I515" i="1"/>
  <c r="N515" i="1" s="1"/>
  <c r="I516" i="1"/>
  <c r="N516" i="1" s="1"/>
  <c r="I517" i="1"/>
  <c r="N517" i="1" s="1"/>
  <c r="I518" i="1"/>
  <c r="N518" i="1" s="1"/>
  <c r="I519" i="1"/>
  <c r="N519" i="1" s="1"/>
  <c r="I520" i="1"/>
  <c r="N520" i="1" s="1"/>
  <c r="I521" i="1"/>
  <c r="N521" i="1" s="1"/>
  <c r="I522" i="1"/>
  <c r="N522" i="1" s="1"/>
  <c r="I523" i="1"/>
  <c r="N523" i="1" s="1"/>
  <c r="I524" i="1"/>
  <c r="N524" i="1" s="1"/>
  <c r="I525" i="1"/>
  <c r="N525" i="1" s="1"/>
  <c r="I526" i="1"/>
  <c r="N526" i="1" s="1"/>
  <c r="I527" i="1"/>
  <c r="N527" i="1" s="1"/>
  <c r="I528" i="1"/>
  <c r="N528" i="1" s="1"/>
  <c r="I529" i="1"/>
  <c r="N529" i="1" s="1"/>
  <c r="I530" i="1"/>
  <c r="N530" i="1" s="1"/>
  <c r="I531" i="1"/>
  <c r="N531" i="1" s="1"/>
  <c r="I532" i="1"/>
  <c r="N532" i="1" s="1"/>
  <c r="I533" i="1"/>
  <c r="N533" i="1" s="1"/>
  <c r="I534" i="1"/>
  <c r="N534" i="1" s="1"/>
  <c r="I535" i="1"/>
  <c r="N535" i="1" s="1"/>
  <c r="I536" i="1"/>
  <c r="N536" i="1" s="1"/>
  <c r="I537" i="1"/>
  <c r="N537" i="1" s="1"/>
  <c r="I538" i="1"/>
  <c r="N538" i="1" s="1"/>
  <c r="I539" i="1"/>
  <c r="N539" i="1" s="1"/>
  <c r="I540" i="1"/>
  <c r="N540" i="1" s="1"/>
  <c r="I541" i="1"/>
  <c r="N541" i="1" s="1"/>
  <c r="I542" i="1"/>
  <c r="N542" i="1" s="1"/>
  <c r="I543" i="1"/>
  <c r="N543" i="1" s="1"/>
  <c r="I544" i="1"/>
  <c r="N544" i="1" s="1"/>
  <c r="I545" i="1"/>
  <c r="N545" i="1" s="1"/>
  <c r="I546" i="1"/>
  <c r="N546" i="1" s="1"/>
  <c r="I547" i="1"/>
  <c r="N547" i="1" s="1"/>
  <c r="I548" i="1"/>
  <c r="N548" i="1" s="1"/>
  <c r="I549" i="1"/>
  <c r="N549" i="1" s="1"/>
  <c r="I550" i="1"/>
  <c r="N550" i="1" s="1"/>
  <c r="I551" i="1"/>
  <c r="N551" i="1" s="1"/>
  <c r="I552" i="1"/>
  <c r="N552" i="1" s="1"/>
  <c r="I553" i="1"/>
  <c r="N553" i="1" s="1"/>
  <c r="I554" i="1"/>
  <c r="N554" i="1" s="1"/>
  <c r="I555" i="1"/>
  <c r="N555" i="1" s="1"/>
  <c r="I556" i="1"/>
  <c r="N556" i="1" s="1"/>
  <c r="I557" i="1"/>
  <c r="N557" i="1" s="1"/>
  <c r="I558" i="1"/>
  <c r="N558" i="1" s="1"/>
  <c r="I559" i="1"/>
  <c r="N559" i="1" s="1"/>
  <c r="I560" i="1"/>
  <c r="N560" i="1" s="1"/>
  <c r="I561" i="1"/>
  <c r="N561" i="1" s="1"/>
  <c r="I562" i="1"/>
  <c r="N562" i="1" s="1"/>
  <c r="I563" i="1"/>
  <c r="N563" i="1" s="1"/>
  <c r="I564" i="1"/>
  <c r="N564" i="1" s="1"/>
  <c r="I565" i="1"/>
  <c r="N565" i="1" s="1"/>
  <c r="I566" i="1"/>
  <c r="N566" i="1" s="1"/>
  <c r="I567" i="1"/>
  <c r="N567" i="1" s="1"/>
  <c r="I568" i="1"/>
  <c r="N568" i="1" s="1"/>
  <c r="I569" i="1"/>
  <c r="N569" i="1" s="1"/>
  <c r="I570" i="1"/>
  <c r="N570" i="1" s="1"/>
  <c r="I571" i="1"/>
  <c r="N571" i="1" s="1"/>
  <c r="I572" i="1"/>
  <c r="N572" i="1" s="1"/>
  <c r="I573" i="1"/>
  <c r="N573" i="1" s="1"/>
  <c r="I574" i="1"/>
  <c r="N574" i="1" s="1"/>
  <c r="F574" i="1"/>
  <c r="E574" i="1"/>
  <c r="D574" i="1"/>
  <c r="F573" i="1"/>
  <c r="E573" i="1"/>
  <c r="D573" i="1"/>
  <c r="F572" i="1"/>
  <c r="E572" i="1"/>
  <c r="D572" i="1"/>
  <c r="F571" i="1"/>
  <c r="E571" i="1"/>
  <c r="D571" i="1"/>
  <c r="F570" i="1"/>
  <c r="E570" i="1"/>
  <c r="D570" i="1"/>
  <c r="F569" i="1"/>
  <c r="E569" i="1"/>
  <c r="D569" i="1"/>
  <c r="F568" i="1"/>
  <c r="E568" i="1"/>
  <c r="D568" i="1"/>
  <c r="F567" i="1"/>
  <c r="E567" i="1"/>
  <c r="D567" i="1"/>
  <c r="F566" i="1"/>
  <c r="E566" i="1"/>
  <c r="D566" i="1"/>
  <c r="F565" i="1"/>
  <c r="E565" i="1"/>
  <c r="D565" i="1"/>
  <c r="F564" i="1"/>
  <c r="E564" i="1"/>
  <c r="D564" i="1"/>
  <c r="F563" i="1"/>
  <c r="E563" i="1"/>
  <c r="D563" i="1"/>
  <c r="F562" i="1"/>
  <c r="E562" i="1"/>
  <c r="D562" i="1"/>
  <c r="F561" i="1"/>
  <c r="E561" i="1"/>
  <c r="D561" i="1"/>
  <c r="F560" i="1"/>
  <c r="E560" i="1"/>
  <c r="D560" i="1"/>
  <c r="F559" i="1"/>
  <c r="E559" i="1"/>
  <c r="D559" i="1"/>
  <c r="F558" i="1"/>
  <c r="E558" i="1"/>
  <c r="D558" i="1"/>
  <c r="F557" i="1"/>
  <c r="E557" i="1"/>
  <c r="D557" i="1"/>
  <c r="F556" i="1"/>
  <c r="E556" i="1"/>
  <c r="D556" i="1"/>
  <c r="F555" i="1"/>
  <c r="E555" i="1"/>
  <c r="D555" i="1"/>
  <c r="F554" i="1"/>
  <c r="E554" i="1"/>
  <c r="D554" i="1"/>
  <c r="F553" i="1"/>
  <c r="E553" i="1"/>
  <c r="D553" i="1"/>
  <c r="F552" i="1"/>
  <c r="E552" i="1"/>
  <c r="D552" i="1"/>
  <c r="F551" i="1"/>
  <c r="E551" i="1"/>
  <c r="D551" i="1"/>
  <c r="F550" i="1"/>
  <c r="E550" i="1"/>
  <c r="D550" i="1"/>
  <c r="F549" i="1"/>
  <c r="E549" i="1"/>
  <c r="D549" i="1"/>
  <c r="F548" i="1"/>
  <c r="E548" i="1"/>
  <c r="D548" i="1"/>
  <c r="F547" i="1"/>
  <c r="E547" i="1"/>
  <c r="D547" i="1"/>
  <c r="F546" i="1"/>
  <c r="E546" i="1"/>
  <c r="D546" i="1"/>
  <c r="F545" i="1"/>
  <c r="E545" i="1"/>
  <c r="D545" i="1"/>
  <c r="F544" i="1"/>
  <c r="E544" i="1"/>
  <c r="D544" i="1"/>
  <c r="F543" i="1"/>
  <c r="E543" i="1"/>
  <c r="D543" i="1"/>
  <c r="F542" i="1"/>
  <c r="E542" i="1"/>
  <c r="D542" i="1"/>
  <c r="F541" i="1"/>
  <c r="E541" i="1"/>
  <c r="D541" i="1"/>
  <c r="F540" i="1"/>
  <c r="E540" i="1"/>
  <c r="D540" i="1"/>
  <c r="F539" i="1"/>
  <c r="E539" i="1"/>
  <c r="D539" i="1"/>
  <c r="F538" i="1"/>
  <c r="E538" i="1"/>
  <c r="D538" i="1"/>
  <c r="F537" i="1"/>
  <c r="E537" i="1"/>
  <c r="D537" i="1"/>
  <c r="F536" i="1"/>
  <c r="E536" i="1"/>
  <c r="D536" i="1"/>
  <c r="F535" i="1"/>
  <c r="E535" i="1"/>
  <c r="D535" i="1"/>
  <c r="F534" i="1"/>
  <c r="E534" i="1"/>
  <c r="D534" i="1"/>
  <c r="F533" i="1"/>
  <c r="E533" i="1"/>
  <c r="D533" i="1"/>
  <c r="F532" i="1"/>
  <c r="E532" i="1"/>
  <c r="D532" i="1"/>
  <c r="F531" i="1"/>
  <c r="E531" i="1"/>
  <c r="D531" i="1"/>
  <c r="F530" i="1"/>
  <c r="E530" i="1"/>
  <c r="D530" i="1"/>
  <c r="F529" i="1"/>
  <c r="E529" i="1"/>
  <c r="D529" i="1"/>
  <c r="F528" i="1"/>
  <c r="E528" i="1"/>
  <c r="D528" i="1"/>
  <c r="F527" i="1"/>
  <c r="E527" i="1"/>
  <c r="D527" i="1"/>
  <c r="F526" i="1"/>
  <c r="E526" i="1"/>
  <c r="D526" i="1"/>
  <c r="F525" i="1"/>
  <c r="E525" i="1"/>
  <c r="D525" i="1"/>
  <c r="F524" i="1"/>
  <c r="E524" i="1"/>
  <c r="D524" i="1"/>
  <c r="F523" i="1"/>
  <c r="E523" i="1"/>
  <c r="D523" i="1"/>
  <c r="F522" i="1"/>
  <c r="E522" i="1"/>
  <c r="D522" i="1"/>
  <c r="F521" i="1"/>
  <c r="E521" i="1"/>
  <c r="D521" i="1"/>
  <c r="F520" i="1"/>
  <c r="E520" i="1"/>
  <c r="D520" i="1"/>
  <c r="F519" i="1"/>
  <c r="E519" i="1"/>
  <c r="D519" i="1"/>
  <c r="F518" i="1"/>
  <c r="E518" i="1"/>
  <c r="D518" i="1"/>
  <c r="F517" i="1"/>
  <c r="E517" i="1"/>
  <c r="D517" i="1"/>
  <c r="F516" i="1"/>
  <c r="E516" i="1"/>
  <c r="D516" i="1"/>
  <c r="F515" i="1"/>
  <c r="E515" i="1"/>
  <c r="D515" i="1"/>
  <c r="F514" i="1"/>
  <c r="E514" i="1"/>
  <c r="D514" i="1"/>
  <c r="F513" i="1"/>
  <c r="E513" i="1"/>
  <c r="D513" i="1"/>
  <c r="F512" i="1"/>
  <c r="E512" i="1"/>
  <c r="D512" i="1"/>
  <c r="H449" i="1"/>
  <c r="H450" i="1"/>
  <c r="H451" i="1"/>
  <c r="H472" i="1" s="1"/>
  <c r="H452" i="1"/>
  <c r="H473" i="1" s="1"/>
  <c r="H453" i="1"/>
  <c r="I453" i="1"/>
  <c r="N453" i="1" s="1"/>
  <c r="H454" i="1"/>
  <c r="I454" i="1"/>
  <c r="N454" i="1" s="1"/>
  <c r="O454" i="1" s="1"/>
  <c r="H455" i="1"/>
  <c r="H476" i="1" s="1"/>
  <c r="H456" i="1"/>
  <c r="H477" i="1" s="1"/>
  <c r="H457" i="1"/>
  <c r="H458" i="1"/>
  <c r="H479" i="1" s="1"/>
  <c r="H459" i="1"/>
  <c r="H480" i="1" s="1"/>
  <c r="H460" i="1"/>
  <c r="H481" i="1" s="1"/>
  <c r="H461" i="1"/>
  <c r="H482" i="1" s="1"/>
  <c r="H462" i="1"/>
  <c r="H483" i="1" s="1"/>
  <c r="H463" i="1"/>
  <c r="H484" i="1" s="1"/>
  <c r="H505" i="1" s="1"/>
  <c r="I463" i="1"/>
  <c r="N463" i="1"/>
  <c r="O463" i="1" s="1"/>
  <c r="H464" i="1"/>
  <c r="H485" i="1" s="1"/>
  <c r="H465" i="1"/>
  <c r="H486" i="1" s="1"/>
  <c r="H507" i="1" s="1"/>
  <c r="I465" i="1"/>
  <c r="N465" i="1" s="1"/>
  <c r="O465" i="1" s="1"/>
  <c r="H466" i="1"/>
  <c r="H487" i="1" s="1"/>
  <c r="H467" i="1"/>
  <c r="H488" i="1" s="1"/>
  <c r="H468" i="1"/>
  <c r="H469" i="1"/>
  <c r="H490" i="1" s="1"/>
  <c r="H471" i="1"/>
  <c r="H474" i="1"/>
  <c r="H495" i="1" s="1"/>
  <c r="I474" i="1"/>
  <c r="N474" i="1" s="1"/>
  <c r="O474" i="1" s="1"/>
  <c r="H475" i="1"/>
  <c r="H496" i="1" s="1"/>
  <c r="I484" i="1"/>
  <c r="N484" i="1" s="1"/>
  <c r="O484" i="1" s="1"/>
  <c r="I486" i="1"/>
  <c r="N486" i="1"/>
  <c r="O486" i="1" s="1"/>
  <c r="H489" i="1"/>
  <c r="I496" i="1"/>
  <c r="N496" i="1" s="1"/>
  <c r="O496" i="1" s="1"/>
  <c r="D510" i="1"/>
  <c r="E510" i="1"/>
  <c r="F510" i="1"/>
  <c r="D511" i="1"/>
  <c r="E511" i="1"/>
  <c r="F511" i="1"/>
  <c r="D449" i="1"/>
  <c r="E449" i="1"/>
  <c r="F449" i="1"/>
  <c r="D450" i="1"/>
  <c r="E450" i="1"/>
  <c r="F450" i="1"/>
  <c r="D451" i="1"/>
  <c r="E451" i="1"/>
  <c r="F451" i="1"/>
  <c r="D452" i="1"/>
  <c r="E452" i="1"/>
  <c r="F452" i="1"/>
  <c r="D453" i="1"/>
  <c r="E453" i="1"/>
  <c r="F453" i="1"/>
  <c r="D454" i="1"/>
  <c r="E454" i="1"/>
  <c r="F454" i="1"/>
  <c r="D455" i="1"/>
  <c r="E455" i="1"/>
  <c r="F455" i="1"/>
  <c r="D456" i="1"/>
  <c r="E456" i="1"/>
  <c r="F456" i="1"/>
  <c r="D457" i="1"/>
  <c r="E457" i="1"/>
  <c r="F457" i="1"/>
  <c r="D458" i="1"/>
  <c r="E458" i="1"/>
  <c r="F458" i="1"/>
  <c r="D459" i="1"/>
  <c r="E459" i="1"/>
  <c r="F459" i="1"/>
  <c r="D460" i="1"/>
  <c r="E460" i="1"/>
  <c r="F460" i="1"/>
  <c r="D461" i="1"/>
  <c r="E461" i="1"/>
  <c r="F461" i="1"/>
  <c r="D462" i="1"/>
  <c r="E462" i="1"/>
  <c r="F462" i="1"/>
  <c r="D463" i="1"/>
  <c r="E463" i="1"/>
  <c r="F463" i="1"/>
  <c r="D464" i="1"/>
  <c r="E464" i="1"/>
  <c r="F464" i="1"/>
  <c r="D465" i="1"/>
  <c r="E465" i="1"/>
  <c r="F465" i="1"/>
  <c r="D466" i="1"/>
  <c r="E466" i="1"/>
  <c r="F466" i="1"/>
  <c r="D467" i="1"/>
  <c r="E467" i="1"/>
  <c r="F467" i="1"/>
  <c r="D468" i="1"/>
  <c r="E468" i="1"/>
  <c r="F468" i="1"/>
  <c r="D469" i="1"/>
  <c r="E469" i="1"/>
  <c r="F469" i="1"/>
  <c r="D470" i="1"/>
  <c r="E470" i="1"/>
  <c r="F470" i="1"/>
  <c r="H470" i="1"/>
  <c r="H491" i="1" s="1"/>
  <c r="D471" i="1"/>
  <c r="E471" i="1"/>
  <c r="F471" i="1"/>
  <c r="D472" i="1"/>
  <c r="E472" i="1"/>
  <c r="F472" i="1"/>
  <c r="D473" i="1"/>
  <c r="E473" i="1"/>
  <c r="F473" i="1"/>
  <c r="D474" i="1"/>
  <c r="E474" i="1"/>
  <c r="F474" i="1"/>
  <c r="D475" i="1"/>
  <c r="E475" i="1"/>
  <c r="F475" i="1"/>
  <c r="D476" i="1"/>
  <c r="E476" i="1"/>
  <c r="F476" i="1"/>
  <c r="D477" i="1"/>
  <c r="E477" i="1"/>
  <c r="F477" i="1"/>
  <c r="D478" i="1"/>
  <c r="E478" i="1"/>
  <c r="F478" i="1"/>
  <c r="D479" i="1"/>
  <c r="E479" i="1"/>
  <c r="F479" i="1"/>
  <c r="D480" i="1"/>
  <c r="E480" i="1"/>
  <c r="F480" i="1"/>
  <c r="D481" i="1"/>
  <c r="E481" i="1"/>
  <c r="F481" i="1"/>
  <c r="D482" i="1"/>
  <c r="E482" i="1"/>
  <c r="F482" i="1"/>
  <c r="D483" i="1"/>
  <c r="E483" i="1"/>
  <c r="F483" i="1"/>
  <c r="D484" i="1"/>
  <c r="E484" i="1"/>
  <c r="F484" i="1"/>
  <c r="D485" i="1"/>
  <c r="E485" i="1"/>
  <c r="F485" i="1"/>
  <c r="D486" i="1"/>
  <c r="E486" i="1"/>
  <c r="F486" i="1"/>
  <c r="D487" i="1"/>
  <c r="E487" i="1"/>
  <c r="F487" i="1"/>
  <c r="D488" i="1"/>
  <c r="E488" i="1"/>
  <c r="F488" i="1"/>
  <c r="D489" i="1"/>
  <c r="E489" i="1"/>
  <c r="F489" i="1"/>
  <c r="D490" i="1"/>
  <c r="E490" i="1"/>
  <c r="F490" i="1"/>
  <c r="D491" i="1"/>
  <c r="E491" i="1"/>
  <c r="F491" i="1"/>
  <c r="D492" i="1"/>
  <c r="E492" i="1"/>
  <c r="F492" i="1"/>
  <c r="D493" i="1"/>
  <c r="E493" i="1"/>
  <c r="F493" i="1"/>
  <c r="D494" i="1"/>
  <c r="E494" i="1"/>
  <c r="F494" i="1"/>
  <c r="D495" i="1"/>
  <c r="E495" i="1"/>
  <c r="F495" i="1"/>
  <c r="D496" i="1"/>
  <c r="E496" i="1"/>
  <c r="F496" i="1"/>
  <c r="D497" i="1"/>
  <c r="E497" i="1"/>
  <c r="F497" i="1"/>
  <c r="D498" i="1"/>
  <c r="E498" i="1"/>
  <c r="F498" i="1"/>
  <c r="D499" i="1"/>
  <c r="E499" i="1"/>
  <c r="F499" i="1"/>
  <c r="D500" i="1"/>
  <c r="E500" i="1"/>
  <c r="F500" i="1"/>
  <c r="D501" i="1"/>
  <c r="E501" i="1"/>
  <c r="F501" i="1"/>
  <c r="D502" i="1"/>
  <c r="E502" i="1"/>
  <c r="F502" i="1"/>
  <c r="D503" i="1"/>
  <c r="E503" i="1"/>
  <c r="F503" i="1"/>
  <c r="D504" i="1"/>
  <c r="E504" i="1"/>
  <c r="F504" i="1"/>
  <c r="D505" i="1"/>
  <c r="E505" i="1"/>
  <c r="F505" i="1"/>
  <c r="D506" i="1"/>
  <c r="E506" i="1"/>
  <c r="F506" i="1"/>
  <c r="D507" i="1"/>
  <c r="E507" i="1"/>
  <c r="F507" i="1"/>
  <c r="D508" i="1"/>
  <c r="E508" i="1"/>
  <c r="F508" i="1"/>
  <c r="D509" i="1"/>
  <c r="E509" i="1"/>
  <c r="F509" i="1"/>
  <c r="C22" i="8" a="1"/>
  <c r="C22" i="8" s="1"/>
  <c r="C21" i="8" a="1"/>
  <c r="C21" i="8" s="1"/>
  <c r="C20" i="8" a="1"/>
  <c r="C20" i="8" s="1"/>
  <c r="C19" i="8" a="1"/>
  <c r="C19" i="8" s="1"/>
  <c r="C18" i="8" a="1"/>
  <c r="C18" i="8" s="1"/>
  <c r="C17" i="8" a="1"/>
  <c r="C17" i="8" s="1"/>
  <c r="C16" i="8" a="1"/>
  <c r="C16" i="8" s="1"/>
  <c r="C15" i="8" a="1"/>
  <c r="C15" i="8" s="1"/>
  <c r="C14" i="8" a="1"/>
  <c r="C14" i="8" s="1"/>
  <c r="C13" i="8" a="1"/>
  <c r="C13" i="8" s="1"/>
  <c r="C12" i="8" a="1"/>
  <c r="C12" i="8" s="1"/>
  <c r="C11" i="8" a="1"/>
  <c r="C11" i="8" s="1"/>
  <c r="C10" i="8" a="1"/>
  <c r="C10" i="8" s="1"/>
  <c r="C9" i="8" a="1"/>
  <c r="C9" i="8" s="1"/>
  <c r="C8" i="8" a="1"/>
  <c r="C8" i="8" s="1"/>
  <c r="C7" i="8" a="1"/>
  <c r="C7" i="8" s="1"/>
  <c r="C6" i="8" a="1"/>
  <c r="C6" i="8" s="1"/>
  <c r="C5" i="8" a="1"/>
  <c r="C5" i="8" s="1"/>
  <c r="C4" i="8" a="1"/>
  <c r="C4" i="8" s="1"/>
  <c r="C3" i="8" a="1"/>
  <c r="C3" i="8" s="1"/>
  <c r="C2" i="8" a="1"/>
  <c r="C2" i="8" s="1"/>
  <c r="G2" i="2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" i="6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23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2" i="1"/>
  <c r="H324" i="1"/>
  <c r="H325" i="1"/>
  <c r="J325" i="1" s="1"/>
  <c r="H326" i="1"/>
  <c r="J326" i="1" s="1"/>
  <c r="H327" i="1"/>
  <c r="H328" i="1"/>
  <c r="H329" i="1"/>
  <c r="J329" i="1" s="1"/>
  <c r="H330" i="1"/>
  <c r="J330" i="1" s="1"/>
  <c r="H331" i="1"/>
  <c r="J331" i="1" s="1"/>
  <c r="H332" i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H339" i="1"/>
  <c r="H340" i="1"/>
  <c r="H341" i="1"/>
  <c r="H342" i="1"/>
  <c r="H343" i="1"/>
  <c r="H323" i="1"/>
  <c r="J323" i="1" s="1"/>
  <c r="J324" i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E3" i="5"/>
  <c r="F3" i="5" s="1"/>
  <c r="E2" i="5"/>
  <c r="F2" i="5" s="1"/>
  <c r="E24" i="4"/>
  <c r="F24" i="4" s="1"/>
  <c r="E23" i="4"/>
  <c r="F23" i="4" s="1"/>
  <c r="E22" i="4"/>
  <c r="F22" i="4" s="1"/>
  <c r="E21" i="4"/>
  <c r="F21" i="4" s="1"/>
  <c r="E20" i="4"/>
  <c r="F20" i="4" s="1"/>
  <c r="E19" i="4"/>
  <c r="F19" i="4" s="1"/>
  <c r="E18" i="4"/>
  <c r="F18" i="4" s="1"/>
  <c r="E17" i="4"/>
  <c r="F17" i="4" s="1"/>
  <c r="E16" i="4"/>
  <c r="F16" i="4" s="1"/>
  <c r="E15" i="4"/>
  <c r="F15" i="4" s="1"/>
  <c r="E14" i="4"/>
  <c r="F14" i="4" s="1"/>
  <c r="E13" i="4"/>
  <c r="F13" i="4" s="1"/>
  <c r="E12" i="4"/>
  <c r="F12" i="4" s="1"/>
  <c r="E11" i="4"/>
  <c r="F11" i="4" s="1"/>
  <c r="E10" i="4"/>
  <c r="F10" i="4" s="1"/>
  <c r="E9" i="4"/>
  <c r="F9" i="4" s="1"/>
  <c r="E8" i="4"/>
  <c r="F8" i="4" s="1"/>
  <c r="E7" i="4"/>
  <c r="F7" i="4" s="1"/>
  <c r="E6" i="4"/>
  <c r="F6" i="4" s="1"/>
  <c r="E5" i="4"/>
  <c r="F5" i="4" s="1"/>
  <c r="E4" i="4"/>
  <c r="F4" i="4" s="1"/>
  <c r="E3" i="4"/>
  <c r="F3" i="4" s="1"/>
  <c r="E2" i="4"/>
  <c r="F2" i="4" s="1"/>
  <c r="E24" i="3"/>
  <c r="F24" i="3" s="1"/>
  <c r="E23" i="3"/>
  <c r="F23" i="3" s="1"/>
  <c r="E22" i="3"/>
  <c r="F22" i="3" s="1"/>
  <c r="E21" i="3"/>
  <c r="F21" i="3" s="1"/>
  <c r="E20" i="3"/>
  <c r="F20" i="3" s="1"/>
  <c r="E19" i="3"/>
  <c r="F19" i="3" s="1"/>
  <c r="E18" i="3"/>
  <c r="F18" i="3" s="1"/>
  <c r="E17" i="3"/>
  <c r="F17" i="3" s="1"/>
  <c r="E16" i="3"/>
  <c r="F16" i="3" s="1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2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2" i="1"/>
  <c r="O453" i="1" l="1"/>
  <c r="H511" i="1"/>
  <c r="H497" i="1"/>
  <c r="H502" i="1"/>
  <c r="H508" i="1"/>
  <c r="H501" i="1"/>
  <c r="H494" i="1"/>
  <c r="H503" i="1"/>
  <c r="H506" i="1"/>
  <c r="H510" i="1"/>
  <c r="H509" i="1"/>
  <c r="H492" i="1"/>
  <c r="H493" i="1"/>
  <c r="H498" i="1"/>
  <c r="H500" i="1"/>
  <c r="H504" i="1"/>
  <c r="H478" i="1"/>
  <c r="G15" i="6"/>
  <c r="G5" i="6"/>
  <c r="I396" i="1"/>
  <c r="N396" i="1" s="1"/>
  <c r="I394" i="1"/>
  <c r="N394" i="1" s="1"/>
  <c r="I393" i="1"/>
  <c r="N393" i="1" s="1"/>
  <c r="I392" i="1"/>
  <c r="N392" i="1" s="1"/>
  <c r="I389" i="1"/>
  <c r="N389" i="1" s="1"/>
  <c r="I387" i="1"/>
  <c r="N387" i="1" s="1"/>
  <c r="I400" i="1"/>
  <c r="N400" i="1" s="1"/>
  <c r="I399" i="1"/>
  <c r="N399" i="1" s="1"/>
  <c r="I398" i="1"/>
  <c r="N398" i="1" s="1"/>
  <c r="I397" i="1"/>
  <c r="N397" i="1" s="1"/>
  <c r="I388" i="1"/>
  <c r="N388" i="1" s="1"/>
  <c r="I386" i="1"/>
  <c r="N386" i="1" s="1"/>
  <c r="H344" i="1"/>
  <c r="J343" i="1"/>
  <c r="H364" i="1" s="1"/>
  <c r="J364" i="1" s="1"/>
  <c r="I427" i="1" s="1"/>
  <c r="N427" i="1" s="1"/>
  <c r="J342" i="1"/>
  <c r="H363" i="1" s="1"/>
  <c r="J363" i="1" s="1"/>
  <c r="I426" i="1" s="1"/>
  <c r="N426" i="1" s="1"/>
  <c r="J341" i="1"/>
  <c r="H362" i="1" s="1"/>
  <c r="J362" i="1" s="1"/>
  <c r="I425" i="1" s="1"/>
  <c r="N425" i="1" s="1"/>
  <c r="J340" i="1"/>
  <c r="H361" i="1" s="1"/>
  <c r="J339" i="1"/>
  <c r="H360" i="1"/>
  <c r="J338" i="1"/>
  <c r="H359" i="1" s="1"/>
  <c r="J359" i="1" s="1"/>
  <c r="I422" i="1" s="1"/>
  <c r="N422" i="1" s="1"/>
  <c r="H358" i="1"/>
  <c r="J358" i="1" s="1"/>
  <c r="H357" i="1"/>
  <c r="J357" i="1" s="1"/>
  <c r="H356" i="1"/>
  <c r="J356" i="1" s="1"/>
  <c r="H355" i="1"/>
  <c r="J355" i="1" s="1"/>
  <c r="H354" i="1"/>
  <c r="J354" i="1" s="1"/>
  <c r="J332" i="1"/>
  <c r="H353" i="1" s="1"/>
  <c r="J353" i="1" s="1"/>
  <c r="I416" i="1" s="1"/>
  <c r="N416" i="1" s="1"/>
  <c r="H352" i="1"/>
  <c r="H351" i="1"/>
  <c r="H350" i="1"/>
  <c r="J350" i="1" s="1"/>
  <c r="J328" i="1"/>
  <c r="H349" i="1"/>
  <c r="J349" i="1" s="1"/>
  <c r="I412" i="1" s="1"/>
  <c r="N412" i="1" s="1"/>
  <c r="J327" i="1"/>
  <c r="H348" i="1"/>
  <c r="J348" i="1" s="1"/>
  <c r="I411" i="1" s="1"/>
  <c r="N411" i="1" s="1"/>
  <c r="H347" i="1"/>
  <c r="J347" i="1" s="1"/>
  <c r="H346" i="1"/>
  <c r="J346" i="1" s="1"/>
  <c r="H345" i="1"/>
  <c r="J345" i="1" s="1"/>
  <c r="J351" i="1"/>
  <c r="J352" i="1"/>
  <c r="H375" i="1" l="1"/>
  <c r="J375" i="1" s="1"/>
  <c r="I438" i="1" s="1"/>
  <c r="N438" i="1" s="1"/>
  <c r="J361" i="1"/>
  <c r="I424" i="1" s="1"/>
  <c r="N424" i="1" s="1"/>
  <c r="H366" i="1"/>
  <c r="J366" i="1" s="1"/>
  <c r="H367" i="1"/>
  <c r="J367" i="1" s="1"/>
  <c r="H370" i="1"/>
  <c r="J370" i="1" s="1"/>
  <c r="H371" i="1"/>
  <c r="J371" i="1" s="1"/>
  <c r="H377" i="1"/>
  <c r="H368" i="1"/>
  <c r="J368" i="1" s="1"/>
  <c r="I431" i="1" s="1"/>
  <c r="N431" i="1" s="1"/>
  <c r="H369" i="1"/>
  <c r="J369" i="1" s="1"/>
  <c r="D48" i="2" s="1"/>
  <c r="H390" i="1" s="1"/>
  <c r="H411" i="1" s="1"/>
  <c r="H376" i="1"/>
  <c r="J376" i="1" s="1"/>
  <c r="H499" i="1"/>
  <c r="I415" i="1"/>
  <c r="N415" i="1" s="1"/>
  <c r="I420" i="1"/>
  <c r="N420" i="1" s="1"/>
  <c r="I421" i="1"/>
  <c r="N421" i="1" s="1"/>
  <c r="I414" i="1"/>
  <c r="N414" i="1" s="1"/>
  <c r="I408" i="1"/>
  <c r="N408" i="1" s="1"/>
  <c r="I409" i="1"/>
  <c r="N409" i="1" s="1"/>
  <c r="I410" i="1"/>
  <c r="N410" i="1" s="1"/>
  <c r="D47" i="2"/>
  <c r="H389" i="1" s="1"/>
  <c r="I390" i="1"/>
  <c r="N390" i="1" s="1"/>
  <c r="I391" i="1"/>
  <c r="N391" i="1" s="1"/>
  <c r="I413" i="1"/>
  <c r="N413" i="1" s="1"/>
  <c r="I395" i="1"/>
  <c r="N395" i="1" s="1"/>
  <c r="I417" i="1"/>
  <c r="N417" i="1" s="1"/>
  <c r="D54" i="2"/>
  <c r="H396" i="1" s="1"/>
  <c r="I418" i="1"/>
  <c r="N418" i="1" s="1"/>
  <c r="I419" i="1"/>
  <c r="N419" i="1" s="1"/>
  <c r="I401" i="1"/>
  <c r="N401" i="1" s="1"/>
  <c r="I402" i="1"/>
  <c r="N402" i="1" s="1"/>
  <c r="I403" i="1"/>
  <c r="N403" i="1" s="1"/>
  <c r="I404" i="1"/>
  <c r="N404" i="1" s="1"/>
  <c r="I405" i="1"/>
  <c r="N405" i="1" s="1"/>
  <c r="I406" i="1"/>
  <c r="N406" i="1" s="1"/>
  <c r="J344" i="1"/>
  <c r="H373" i="1"/>
  <c r="J373" i="1" s="1"/>
  <c r="H374" i="1"/>
  <c r="J374" i="1" s="1"/>
  <c r="H378" i="1"/>
  <c r="J378" i="1" s="1"/>
  <c r="H379" i="1"/>
  <c r="J379" i="1" s="1"/>
  <c r="H380" i="1"/>
  <c r="J380" i="1" s="1"/>
  <c r="H385" i="1"/>
  <c r="J385" i="1" s="1"/>
  <c r="H383" i="1"/>
  <c r="J383" i="1" s="1"/>
  <c r="H384" i="1"/>
  <c r="J384" i="1" s="1"/>
  <c r="H372" i="1"/>
  <c r="J372" i="1" s="1"/>
  <c r="J360" i="1"/>
  <c r="E54" i="2" l="1"/>
  <c r="H54" i="2" s="1"/>
  <c r="G18" i="6" s="1"/>
  <c r="E47" i="2"/>
  <c r="H47" i="2" s="1"/>
  <c r="G10" i="6" s="1"/>
  <c r="I10" i="6" s="1"/>
  <c r="H382" i="1"/>
  <c r="J382" i="1" s="1"/>
  <c r="I443" i="1"/>
  <c r="D59" i="2"/>
  <c r="H401" i="1" s="1"/>
  <c r="I442" i="1"/>
  <c r="D58" i="2"/>
  <c r="H400" i="1" s="1"/>
  <c r="H421" i="1" s="1"/>
  <c r="I441" i="1"/>
  <c r="D57" i="2"/>
  <c r="H399" i="1" s="1"/>
  <c r="I433" i="1"/>
  <c r="D49" i="2"/>
  <c r="H391" i="1" s="1"/>
  <c r="H412" i="1" s="1"/>
  <c r="I432" i="1"/>
  <c r="I430" i="1"/>
  <c r="D46" i="2"/>
  <c r="H388" i="1" s="1"/>
  <c r="I439" i="1"/>
  <c r="D55" i="2"/>
  <c r="H397" i="1" s="1"/>
  <c r="I434" i="1"/>
  <c r="D50" i="2"/>
  <c r="H392" i="1" s="1"/>
  <c r="I436" i="1"/>
  <c r="D52" i="2"/>
  <c r="H394" i="1" s="1"/>
  <c r="I448" i="1"/>
  <c r="D64" i="2"/>
  <c r="H406" i="1" s="1"/>
  <c r="I429" i="1"/>
  <c r="D45" i="2"/>
  <c r="H387" i="1" s="1"/>
  <c r="I435" i="1"/>
  <c r="D51" i="2"/>
  <c r="H393" i="1" s="1"/>
  <c r="I447" i="1"/>
  <c r="D63" i="2"/>
  <c r="H405" i="1" s="1"/>
  <c r="I446" i="1"/>
  <c r="D62" i="2"/>
  <c r="H404" i="1" s="1"/>
  <c r="I437" i="1"/>
  <c r="D53" i="2"/>
  <c r="H395" i="1" s="1"/>
  <c r="H381" i="1"/>
  <c r="I423" i="1"/>
  <c r="N423" i="1" s="1"/>
  <c r="I407" i="1"/>
  <c r="N407" i="1" s="1"/>
  <c r="H365" i="1"/>
  <c r="J365" i="1" s="1"/>
  <c r="J381" i="1"/>
  <c r="J377" i="1"/>
  <c r="I445" i="1" l="1"/>
  <c r="D61" i="2"/>
  <c r="I440" i="1"/>
  <c r="D56" i="2"/>
  <c r="H398" i="1" s="1"/>
  <c r="I444" i="1"/>
  <c r="N444" i="1" s="1"/>
  <c r="D60" i="2"/>
  <c r="H402" i="1" s="1"/>
  <c r="H423" i="1" s="1"/>
  <c r="E53" i="2"/>
  <c r="H53" i="2" s="1"/>
  <c r="G20" i="6" s="1"/>
  <c r="N437" i="1"/>
  <c r="E62" i="2"/>
  <c r="H62" i="2" s="1"/>
  <c r="G14" i="6" s="1"/>
  <c r="N446" i="1"/>
  <c r="E63" i="2"/>
  <c r="H63" i="2" s="1"/>
  <c r="G21" i="6" s="1"/>
  <c r="N447" i="1"/>
  <c r="E51" i="2"/>
  <c r="H51" i="2" s="1"/>
  <c r="G8" i="6" s="1"/>
  <c r="I8" i="6" s="1"/>
  <c r="N435" i="1"/>
  <c r="E45" i="2"/>
  <c r="H45" i="2" s="1"/>
  <c r="G12" i="6" s="1"/>
  <c r="I12" i="6" s="1"/>
  <c r="N429" i="1"/>
  <c r="E64" i="2"/>
  <c r="H64" i="2" s="1"/>
  <c r="G24" i="6" s="1"/>
  <c r="N448" i="1"/>
  <c r="E52" i="2"/>
  <c r="H52" i="2" s="1"/>
  <c r="G19" i="6" s="1"/>
  <c r="N436" i="1"/>
  <c r="E50" i="2"/>
  <c r="H50" i="2" s="1"/>
  <c r="G7" i="6" s="1"/>
  <c r="I7" i="6" s="1"/>
  <c r="N434" i="1"/>
  <c r="E55" i="2"/>
  <c r="H55" i="2" s="1"/>
  <c r="G16" i="6" s="1"/>
  <c r="N439" i="1"/>
  <c r="E46" i="2"/>
  <c r="H46" i="2" s="1"/>
  <c r="G11" i="6" s="1"/>
  <c r="I11" i="6" s="1"/>
  <c r="N430" i="1"/>
  <c r="E48" i="2"/>
  <c r="H48" i="2" s="1"/>
  <c r="G13" i="6" s="1"/>
  <c r="I13" i="6" s="1"/>
  <c r="N432" i="1"/>
  <c r="E49" i="2"/>
  <c r="H49" i="2" s="1"/>
  <c r="G6" i="6" s="1"/>
  <c r="I6" i="6" s="1"/>
  <c r="N433" i="1"/>
  <c r="E57" i="2"/>
  <c r="H57" i="2" s="1"/>
  <c r="G2" i="6" s="1"/>
  <c r="N441" i="1"/>
  <c r="E58" i="2"/>
  <c r="H58" i="2" s="1"/>
  <c r="G17" i="6" s="1"/>
  <c r="N442" i="1"/>
  <c r="E59" i="2"/>
  <c r="H59" i="2" s="1"/>
  <c r="G9" i="6" s="1"/>
  <c r="N443" i="1"/>
  <c r="I428" i="1"/>
  <c r="N428" i="1" s="1"/>
  <c r="D44" i="2"/>
  <c r="H386" i="1" s="1"/>
  <c r="O362" i="1"/>
  <c r="O341" i="1"/>
  <c r="O164" i="1"/>
  <c r="O383" i="1"/>
  <c r="O183" i="1"/>
  <c r="O221" i="1"/>
  <c r="O259" i="1"/>
  <c r="O299" i="1"/>
  <c r="O202" i="1"/>
  <c r="O240" i="1"/>
  <c r="O278" i="1"/>
  <c r="O320" i="1"/>
  <c r="O297" i="1"/>
  <c r="O318" i="1"/>
  <c r="O219" i="1"/>
  <c r="O339" i="1"/>
  <c r="O162" i="1"/>
  <c r="O360" i="1"/>
  <c r="O238" i="1"/>
  <c r="O381" i="1"/>
  <c r="O200" i="1"/>
  <c r="O257" i="1"/>
  <c r="O276" i="1"/>
  <c r="O181" i="1"/>
  <c r="O275" i="1"/>
  <c r="O33" i="1"/>
  <c r="O317" i="1"/>
  <c r="O296" i="1"/>
  <c r="O65" i="1"/>
  <c r="O129" i="1"/>
  <c r="O338" i="1"/>
  <c r="O161" i="1"/>
  <c r="O180" i="1"/>
  <c r="O113" i="1"/>
  <c r="O17" i="1"/>
  <c r="O218" i="1"/>
  <c r="O97" i="1"/>
  <c r="O81" i="1"/>
  <c r="O49" i="1"/>
  <c r="O359" i="1"/>
  <c r="O256" i="1"/>
  <c r="O199" i="1"/>
  <c r="O145" i="1"/>
  <c r="O237" i="1"/>
  <c r="O380" i="1"/>
  <c r="O154" i="1"/>
  <c r="O352" i="1"/>
  <c r="O230" i="1"/>
  <c r="O10" i="1"/>
  <c r="O373" i="1"/>
  <c r="O173" i="1"/>
  <c r="O74" i="1"/>
  <c r="O249" i="1"/>
  <c r="O106" i="1"/>
  <c r="O331" i="1"/>
  <c r="O192" i="1"/>
  <c r="O138" i="1"/>
  <c r="O58" i="1"/>
  <c r="O211" i="1"/>
  <c r="O122" i="1"/>
  <c r="O310" i="1"/>
  <c r="O268" i="1"/>
  <c r="O26" i="1"/>
  <c r="O90" i="1"/>
  <c r="O42" i="1"/>
  <c r="O289" i="1"/>
  <c r="O132" i="1"/>
  <c r="O186" i="1"/>
  <c r="O283" i="1"/>
  <c r="O52" i="1"/>
  <c r="O304" i="1"/>
  <c r="O205" i="1"/>
  <c r="O84" i="1"/>
  <c r="O167" i="1"/>
  <c r="O100" i="1"/>
  <c r="O4" i="1"/>
  <c r="O243" i="1"/>
  <c r="O116" i="1"/>
  <c r="O325" i="1"/>
  <c r="O148" i="1"/>
  <c r="O68" i="1"/>
  <c r="O224" i="1"/>
  <c r="O346" i="1"/>
  <c r="O367" i="1"/>
  <c r="O36" i="1"/>
  <c r="O262" i="1"/>
  <c r="O20" i="1"/>
  <c r="O242" i="1"/>
  <c r="O99" i="1"/>
  <c r="O131" i="1"/>
  <c r="O261" i="1"/>
  <c r="O19" i="1"/>
  <c r="O282" i="1"/>
  <c r="O51" i="1"/>
  <c r="O166" i="1"/>
  <c r="O204" i="1"/>
  <c r="O83" i="1"/>
  <c r="O3" i="1"/>
  <c r="O185" i="1"/>
  <c r="O366" i="1"/>
  <c r="O147" i="1"/>
  <c r="O67" i="1"/>
  <c r="O223" i="1"/>
  <c r="O324" i="1"/>
  <c r="O35" i="1"/>
  <c r="O303" i="1"/>
  <c r="O115" i="1"/>
  <c r="O345" i="1"/>
  <c r="O385" i="1"/>
  <c r="O301" i="1"/>
  <c r="O343" i="1"/>
  <c r="O364" i="1"/>
  <c r="O280" i="1"/>
  <c r="O322" i="1"/>
  <c r="O165" i="1"/>
  <c r="O66" i="1"/>
  <c r="O98" i="1"/>
  <c r="O241" i="1"/>
  <c r="O184" i="1"/>
  <c r="O260" i="1"/>
  <c r="O18" i="1"/>
  <c r="O302" i="1"/>
  <c r="O344" i="1"/>
  <c r="O203" i="1"/>
  <c r="O82" i="1"/>
  <c r="O2" i="1"/>
  <c r="O281" i="1"/>
  <c r="O146" i="1"/>
  <c r="O365" i="1"/>
  <c r="O323" i="1"/>
  <c r="O50" i="1"/>
  <c r="O130" i="1"/>
  <c r="O222" i="1"/>
  <c r="O114" i="1"/>
  <c r="O34" i="1"/>
  <c r="O121" i="1"/>
  <c r="O153" i="1"/>
  <c r="O41" i="1"/>
  <c r="O172" i="1"/>
  <c r="O73" i="1"/>
  <c r="O191" i="1"/>
  <c r="O137" i="1"/>
  <c r="O57" i="1"/>
  <c r="O9" i="1"/>
  <c r="O229" i="1"/>
  <c r="O105" i="1"/>
  <c r="O25" i="1"/>
  <c r="O210" i="1"/>
  <c r="O89" i="1"/>
  <c r="O248" i="1"/>
  <c r="O209" i="1"/>
  <c r="O88" i="1"/>
  <c r="O120" i="1"/>
  <c r="O228" i="1"/>
  <c r="O8" i="1"/>
  <c r="O40" i="1"/>
  <c r="O247" i="1"/>
  <c r="O72" i="1"/>
  <c r="O152" i="1"/>
  <c r="O136" i="1"/>
  <c r="O56" i="1"/>
  <c r="O190" i="1"/>
  <c r="O171" i="1"/>
  <c r="O104" i="1"/>
  <c r="O24" i="1"/>
  <c r="N445" i="1" l="1"/>
  <c r="E61" i="2"/>
  <c r="H403" i="1"/>
  <c r="J403" i="1" s="1"/>
  <c r="I466" i="1" s="1"/>
  <c r="N466" i="1" s="1"/>
  <c r="O466" i="1" s="1"/>
  <c r="H61" i="2"/>
  <c r="G23" i="6" s="1"/>
  <c r="E60" i="2"/>
  <c r="E44" i="2"/>
  <c r="H44" i="2" s="1"/>
  <c r="G3" i="6" s="1"/>
  <c r="I3" i="6" s="1"/>
  <c r="H60" i="2"/>
  <c r="G22" i="6" s="1"/>
  <c r="E56" i="2"/>
  <c r="H56" i="2" s="1"/>
  <c r="G4" i="6" s="1"/>
  <c r="N440" i="1"/>
  <c r="O440" i="1" s="1"/>
  <c r="O231" i="1"/>
  <c r="O11" i="1"/>
  <c r="O374" i="1"/>
  <c r="O43" i="1"/>
  <c r="O250" i="1"/>
  <c r="O107" i="1"/>
  <c r="O139" i="1"/>
  <c r="O193" i="1"/>
  <c r="O59" i="1"/>
  <c r="O311" i="1"/>
  <c r="O27" i="1"/>
  <c r="O174" i="1"/>
  <c r="O91" i="1"/>
  <c r="O123" i="1"/>
  <c r="O269" i="1"/>
  <c r="O212" i="1"/>
  <c r="O290" i="1"/>
  <c r="O353" i="1"/>
  <c r="O155" i="1"/>
  <c r="O75" i="1"/>
  <c r="O332" i="1"/>
  <c r="O264" i="1"/>
  <c r="O22" i="1"/>
  <c r="O54" i="1"/>
  <c r="O306" i="1"/>
  <c r="O285" i="1"/>
  <c r="O118" i="1"/>
  <c r="O327" i="1"/>
  <c r="O150" i="1"/>
  <c r="O207" i="1"/>
  <c r="O86" i="1"/>
  <c r="O369" i="1"/>
  <c r="O245" i="1"/>
  <c r="O70" i="1"/>
  <c r="O134" i="1"/>
  <c r="O226" i="1"/>
  <c r="O188" i="1"/>
  <c r="O38" i="1"/>
  <c r="O348" i="1"/>
  <c r="O169" i="1"/>
  <c r="O6" i="1"/>
  <c r="O102" i="1"/>
  <c r="O44" i="1"/>
  <c r="O175" i="1"/>
  <c r="O76" i="1"/>
  <c r="O140" i="1"/>
  <c r="O194" i="1"/>
  <c r="O232" i="1"/>
  <c r="O124" i="1"/>
  <c r="O354" i="1"/>
  <c r="O28" i="1"/>
  <c r="O108" i="1"/>
  <c r="O12" i="1"/>
  <c r="O291" i="1"/>
  <c r="O251" i="1"/>
  <c r="O270" i="1"/>
  <c r="O213" i="1"/>
  <c r="O92" i="1"/>
  <c r="O375" i="1"/>
  <c r="O333" i="1"/>
  <c r="O312" i="1"/>
  <c r="O60" i="1"/>
  <c r="O156" i="1"/>
  <c r="O319" i="1"/>
  <c r="O220" i="1"/>
  <c r="O340" i="1"/>
  <c r="O361" i="1"/>
  <c r="O239" i="1"/>
  <c r="O382" i="1"/>
  <c r="O258" i="1"/>
  <c r="O163" i="1"/>
  <c r="O201" i="1"/>
  <c r="O298" i="1"/>
  <c r="O277" i="1"/>
  <c r="O182" i="1"/>
  <c r="O187" i="1"/>
  <c r="O263" i="1"/>
  <c r="O21" i="1"/>
  <c r="O305" i="1"/>
  <c r="O206" i="1"/>
  <c r="O85" i="1"/>
  <c r="O117" i="1"/>
  <c r="O5" i="1"/>
  <c r="O368" i="1"/>
  <c r="O244" i="1"/>
  <c r="O149" i="1"/>
  <c r="O69" i="1"/>
  <c r="O53" i="1"/>
  <c r="O133" i="1"/>
  <c r="O225" i="1"/>
  <c r="O37" i="1"/>
  <c r="O326" i="1"/>
  <c r="O284" i="1"/>
  <c r="O347" i="1"/>
  <c r="O168" i="1"/>
  <c r="O101" i="1"/>
  <c r="O286" i="1"/>
  <c r="O55" i="1"/>
  <c r="O307" i="1"/>
  <c r="O208" i="1"/>
  <c r="O87" i="1"/>
  <c r="O328" i="1"/>
  <c r="O151" i="1"/>
  <c r="O349" i="1"/>
  <c r="O227" i="1"/>
  <c r="O7" i="1"/>
  <c r="O370" i="1"/>
  <c r="O246" i="1"/>
  <c r="O71" i="1"/>
  <c r="O189" i="1"/>
  <c r="O135" i="1"/>
  <c r="O39" i="1"/>
  <c r="O119" i="1"/>
  <c r="O265" i="1"/>
  <c r="O170" i="1"/>
  <c r="O103" i="1"/>
  <c r="O23" i="1"/>
  <c r="O308" i="1"/>
  <c r="O329" i="1"/>
  <c r="O350" i="1"/>
  <c r="O371" i="1"/>
  <c r="O287" i="1"/>
  <c r="O266" i="1"/>
  <c r="O330" i="1"/>
  <c r="O351" i="1"/>
  <c r="O372" i="1"/>
  <c r="O288" i="1"/>
  <c r="O267" i="1"/>
  <c r="O309" i="1"/>
  <c r="O143" i="1"/>
  <c r="O197" i="1"/>
  <c r="O294" i="1"/>
  <c r="O63" i="1"/>
  <c r="O315" i="1"/>
  <c r="O216" i="1"/>
  <c r="O95" i="1"/>
  <c r="O357" i="1"/>
  <c r="O273" i="1"/>
  <c r="O31" i="1"/>
  <c r="O178" i="1"/>
  <c r="O111" i="1"/>
  <c r="O378" i="1"/>
  <c r="O79" i="1"/>
  <c r="O15" i="1"/>
  <c r="O336" i="1"/>
  <c r="O159" i="1"/>
  <c r="O254" i="1"/>
  <c r="O235" i="1"/>
  <c r="O127" i="1"/>
  <c r="O47" i="1"/>
  <c r="O384" i="1"/>
  <c r="O363" i="1"/>
  <c r="O342" i="1"/>
  <c r="O279" i="1"/>
  <c r="O321" i="1"/>
  <c r="O300" i="1"/>
  <c r="O198" i="1"/>
  <c r="O274" i="1"/>
  <c r="O32" i="1"/>
  <c r="O295" i="1"/>
  <c r="O316" i="1"/>
  <c r="O217" i="1"/>
  <c r="O96" i="1"/>
  <c r="O128" i="1"/>
  <c r="O179" i="1"/>
  <c r="O112" i="1"/>
  <c r="O16" i="1"/>
  <c r="O379" i="1"/>
  <c r="O255" i="1"/>
  <c r="O80" i="1"/>
  <c r="O64" i="1"/>
  <c r="O236" i="1"/>
  <c r="O337" i="1"/>
  <c r="O160" i="1"/>
  <c r="O144" i="1"/>
  <c r="O48" i="1"/>
  <c r="O358" i="1"/>
  <c r="O176" i="1"/>
  <c r="O77" i="1"/>
  <c r="O252" i="1"/>
  <c r="O109" i="1"/>
  <c r="O195" i="1"/>
  <c r="O271" i="1"/>
  <c r="O29" i="1"/>
  <c r="O233" i="1"/>
  <c r="O125" i="1"/>
  <c r="O45" i="1"/>
  <c r="O355" i="1"/>
  <c r="O313" i="1"/>
  <c r="O157" i="1"/>
  <c r="O214" i="1"/>
  <c r="O93" i="1"/>
  <c r="O13" i="1"/>
  <c r="O376" i="1"/>
  <c r="O292" i="1"/>
  <c r="O334" i="1"/>
  <c r="O141" i="1"/>
  <c r="O61" i="1"/>
  <c r="O253" i="1"/>
  <c r="O110" i="1"/>
  <c r="O142" i="1"/>
  <c r="O272" i="1"/>
  <c r="O30" i="1"/>
  <c r="O293" i="1"/>
  <c r="O62" i="1"/>
  <c r="O234" i="1"/>
  <c r="O126" i="1"/>
  <c r="O46" i="1"/>
  <c r="O356" i="1"/>
  <c r="O314" i="1"/>
  <c r="O215" i="1"/>
  <c r="O158" i="1"/>
  <c r="O94" i="1"/>
  <c r="O14" i="1"/>
  <c r="O377" i="1"/>
  <c r="O78" i="1"/>
  <c r="O177" i="1"/>
  <c r="O335" i="1"/>
  <c r="O196" i="1"/>
  <c r="H444" i="1"/>
  <c r="J444" i="1" s="1"/>
  <c r="I507" i="1" s="1"/>
  <c r="N507" i="1" s="1"/>
  <c r="O507" i="1" s="1"/>
  <c r="H442" i="1"/>
  <c r="J442" i="1" s="1"/>
  <c r="I505" i="1" s="1"/>
  <c r="N505" i="1" s="1"/>
  <c r="O505" i="1" s="1"/>
  <c r="J412" i="1"/>
  <c r="H432" i="1"/>
  <c r="J432" i="1" s="1"/>
  <c r="I495" i="1" s="1"/>
  <c r="N495" i="1" s="1"/>
  <c r="O495" i="1" s="1"/>
  <c r="J406" i="1"/>
  <c r="J405" i="1"/>
  <c r="J404" i="1"/>
  <c r="J401" i="1"/>
  <c r="J399" i="1"/>
  <c r="J398" i="1"/>
  <c r="I461" i="1" s="1"/>
  <c r="N461" i="1" s="1"/>
  <c r="O461" i="1" s="1"/>
  <c r="J397" i="1"/>
  <c r="J396" i="1"/>
  <c r="J395" i="1"/>
  <c r="J394" i="1"/>
  <c r="J393" i="1"/>
  <c r="J392" i="1"/>
  <c r="J389" i="1"/>
  <c r="J388" i="1"/>
  <c r="J387" i="1"/>
  <c r="J386" i="1"/>
  <c r="I449" i="1" s="1"/>
  <c r="N449" i="1" s="1"/>
  <c r="O449" i="1" s="1"/>
  <c r="O448" i="1"/>
  <c r="O447" i="1"/>
  <c r="O446" i="1"/>
  <c r="O445" i="1"/>
  <c r="O444" i="1"/>
  <c r="O443" i="1"/>
  <c r="O442" i="1"/>
  <c r="O441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I464" i="1" l="1"/>
  <c r="N464" i="1" s="1"/>
  <c r="O464" i="1" s="1"/>
  <c r="H422" i="1"/>
  <c r="J422" i="1" s="1"/>
  <c r="I468" i="1"/>
  <c r="N468" i="1" s="1"/>
  <c r="O468" i="1" s="1"/>
  <c r="H426" i="1"/>
  <c r="J426" i="1" s="1"/>
  <c r="I469" i="1"/>
  <c r="N469" i="1" s="1"/>
  <c r="O469" i="1" s="1"/>
  <c r="H427" i="1"/>
  <c r="J427" i="1" s="1"/>
  <c r="I459" i="1"/>
  <c r="N459" i="1" s="1"/>
  <c r="O459" i="1" s="1"/>
  <c r="H417" i="1"/>
  <c r="J417" i="1" s="1"/>
  <c r="I467" i="1"/>
  <c r="N467" i="1" s="1"/>
  <c r="O467" i="1" s="1"/>
  <c r="H425" i="1"/>
  <c r="J425" i="1" s="1"/>
  <c r="H407" i="1"/>
  <c r="I462" i="1"/>
  <c r="N462" i="1" s="1"/>
  <c r="O462" i="1" s="1"/>
  <c r="H420" i="1"/>
  <c r="J420" i="1" s="1"/>
  <c r="I458" i="1"/>
  <c r="N458" i="1" s="1"/>
  <c r="O458" i="1" s="1"/>
  <c r="H416" i="1"/>
  <c r="J416" i="1" s="1"/>
  <c r="I460" i="1"/>
  <c r="N460" i="1" s="1"/>
  <c r="O460" i="1" s="1"/>
  <c r="H418" i="1"/>
  <c r="J418" i="1" s="1"/>
  <c r="H433" i="1"/>
  <c r="I475" i="1"/>
  <c r="N475" i="1" s="1"/>
  <c r="O475" i="1" s="1"/>
  <c r="I450" i="1"/>
  <c r="N450" i="1" s="1"/>
  <c r="O450" i="1" s="1"/>
  <c r="H408" i="1"/>
  <c r="J408" i="1" s="1"/>
  <c r="I451" i="1"/>
  <c r="N451" i="1" s="1"/>
  <c r="O451" i="1" s="1"/>
  <c r="H409" i="1"/>
  <c r="J409" i="1" s="1"/>
  <c r="H424" i="1"/>
  <c r="J424" i="1" s="1"/>
  <c r="I452" i="1"/>
  <c r="N452" i="1" s="1"/>
  <c r="O452" i="1" s="1"/>
  <c r="H410" i="1"/>
  <c r="J410" i="1" s="1"/>
  <c r="H419" i="1"/>
  <c r="J419" i="1" s="1"/>
  <c r="I457" i="1"/>
  <c r="N457" i="1" s="1"/>
  <c r="O457" i="1" s="1"/>
  <c r="H415" i="1"/>
  <c r="J415" i="1" s="1"/>
  <c r="I455" i="1"/>
  <c r="N455" i="1" s="1"/>
  <c r="O455" i="1" s="1"/>
  <c r="H413" i="1"/>
  <c r="J413" i="1" s="1"/>
  <c r="I456" i="1"/>
  <c r="N456" i="1" s="1"/>
  <c r="O456" i="1" s="1"/>
  <c r="H414" i="1"/>
  <c r="J414" i="1" s="1"/>
  <c r="H434" i="1" l="1"/>
  <c r="J434" i="1" s="1"/>
  <c r="I497" i="1" s="1"/>
  <c r="N497" i="1" s="1"/>
  <c r="O497" i="1" s="1"/>
  <c r="I476" i="1"/>
  <c r="N476" i="1" s="1"/>
  <c r="O476" i="1" s="1"/>
  <c r="H441" i="1"/>
  <c r="J441" i="1" s="1"/>
  <c r="I504" i="1" s="1"/>
  <c r="N504" i="1" s="1"/>
  <c r="O504" i="1" s="1"/>
  <c r="I483" i="1"/>
  <c r="N483" i="1" s="1"/>
  <c r="O483" i="1" s="1"/>
  <c r="H448" i="1"/>
  <c r="J448" i="1" s="1"/>
  <c r="I511" i="1" s="1"/>
  <c r="N511" i="1" s="1"/>
  <c r="O511" i="1" s="1"/>
  <c r="I490" i="1"/>
  <c r="N490" i="1" s="1"/>
  <c r="O490" i="1" s="1"/>
  <c r="H429" i="1"/>
  <c r="J429" i="1" s="1"/>
  <c r="I492" i="1" s="1"/>
  <c r="N492" i="1" s="1"/>
  <c r="O492" i="1" s="1"/>
  <c r="I471" i="1"/>
  <c r="N471" i="1" s="1"/>
  <c r="O471" i="1" s="1"/>
  <c r="H437" i="1"/>
  <c r="J437" i="1" s="1"/>
  <c r="I500" i="1" s="1"/>
  <c r="N500" i="1" s="1"/>
  <c r="O500" i="1" s="1"/>
  <c r="I479" i="1"/>
  <c r="N479" i="1" s="1"/>
  <c r="O479" i="1" s="1"/>
  <c r="H435" i="1"/>
  <c r="J435" i="1" s="1"/>
  <c r="I498" i="1" s="1"/>
  <c r="N498" i="1" s="1"/>
  <c r="O498" i="1" s="1"/>
  <c r="I477" i="1"/>
  <c r="N477" i="1" s="1"/>
  <c r="O477" i="1" s="1"/>
  <c r="H438" i="1"/>
  <c r="J438" i="1" s="1"/>
  <c r="I501" i="1" s="1"/>
  <c r="N501" i="1" s="1"/>
  <c r="O501" i="1" s="1"/>
  <c r="I480" i="1"/>
  <c r="N480" i="1" s="1"/>
  <c r="O480" i="1" s="1"/>
  <c r="H440" i="1"/>
  <c r="J440" i="1" s="1"/>
  <c r="I503" i="1" s="1"/>
  <c r="N503" i="1" s="1"/>
  <c r="O503" i="1" s="1"/>
  <c r="I482" i="1"/>
  <c r="N482" i="1" s="1"/>
  <c r="O482" i="1" s="1"/>
  <c r="J407" i="1"/>
  <c r="I470" i="1" s="1"/>
  <c r="N470" i="1" s="1"/>
  <c r="O470" i="1" s="1"/>
  <c r="H436" i="1"/>
  <c r="J436" i="1" s="1"/>
  <c r="I499" i="1" s="1"/>
  <c r="N499" i="1" s="1"/>
  <c r="O499" i="1" s="1"/>
  <c r="I478" i="1"/>
  <c r="N478" i="1" s="1"/>
  <c r="O478" i="1" s="1"/>
  <c r="H431" i="1"/>
  <c r="J431" i="1" s="1"/>
  <c r="I494" i="1" s="1"/>
  <c r="N494" i="1" s="1"/>
  <c r="O494" i="1" s="1"/>
  <c r="I473" i="1"/>
  <c r="N473" i="1" s="1"/>
  <c r="O473" i="1" s="1"/>
  <c r="H447" i="1"/>
  <c r="J447" i="1" s="1"/>
  <c r="I510" i="1" s="1"/>
  <c r="N510" i="1" s="1"/>
  <c r="O510" i="1" s="1"/>
  <c r="I489" i="1"/>
  <c r="N489" i="1" s="1"/>
  <c r="O489" i="1" s="1"/>
  <c r="H446" i="1"/>
  <c r="J446" i="1" s="1"/>
  <c r="I509" i="1" s="1"/>
  <c r="N509" i="1" s="1"/>
  <c r="O509" i="1" s="1"/>
  <c r="I488" i="1"/>
  <c r="N488" i="1" s="1"/>
  <c r="O488" i="1" s="1"/>
  <c r="H445" i="1"/>
  <c r="J445" i="1" s="1"/>
  <c r="I508" i="1" s="1"/>
  <c r="N508" i="1" s="1"/>
  <c r="O508" i="1" s="1"/>
  <c r="I487" i="1"/>
  <c r="N487" i="1" s="1"/>
  <c r="O487" i="1" s="1"/>
  <c r="H443" i="1"/>
  <c r="J443" i="1" s="1"/>
  <c r="I506" i="1" s="1"/>
  <c r="N506" i="1" s="1"/>
  <c r="O506" i="1" s="1"/>
  <c r="I485" i="1"/>
  <c r="N485" i="1" s="1"/>
  <c r="O485" i="1" s="1"/>
  <c r="H439" i="1"/>
  <c r="J439" i="1" s="1"/>
  <c r="I502" i="1" s="1"/>
  <c r="N502" i="1" s="1"/>
  <c r="O502" i="1" s="1"/>
  <c r="I481" i="1"/>
  <c r="N481" i="1" s="1"/>
  <c r="O481" i="1" s="1"/>
  <c r="H430" i="1"/>
  <c r="J430" i="1" s="1"/>
  <c r="I493" i="1" s="1"/>
  <c r="N493" i="1" s="1"/>
  <c r="O493" i="1" s="1"/>
  <c r="I472" i="1"/>
  <c r="N472" i="1" s="1"/>
  <c r="O472" i="1" s="1"/>
  <c r="H428" i="1" l="1"/>
  <c r="J428" i="1" s="1"/>
  <c r="I491" i="1" s="1"/>
  <c r="N491" i="1" s="1"/>
  <c r="O49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tc={55CCB423-94F8-4DD3-AC3B-01FC8A93D9FF}</author>
    <author>tc={2BDB33BA-1EDA-44B9-858F-CDAE15DE8195}</author>
    <author>tc={33EB7A4A-E184-4315-B1E9-A204B2C378B0}</author>
    <author>tc={B345C8FF-7A83-4F56-9C45-6851E6E0A100}</author>
  </authors>
  <commentList>
    <comment ref="J1" authorId="0" shapeId="0" xr:uid="{55CCB423-94F8-4DD3-AC3B-01FC8A93D9FF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Perkiraan yang akan distock untuk H+1</t>
      </text>
    </comment>
    <comment ref="K1" authorId="1" shapeId="0" xr:uid="{2BDB33BA-1EDA-44B9-858F-CDAE15DE8195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brg yg dikembalikan oleh pembeli setelah stock sore dilakukan</t>
      </text>
    </comment>
    <comment ref="L1" authorId="2" shapeId="0" xr:uid="{33EB7A4A-E184-4315-B1E9-A204B2C378B0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brg yg pada olsera</t>
      </text>
    </comment>
    <comment ref="M1" authorId="3" shapeId="0" xr:uid="{B345C8FF-7A83-4F56-9C45-6851E6E0A100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stock yg dicek pada sore hari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<sst xmlns="http://schemas.openxmlformats.org/spreadsheetml/2006/main" count="942" uniqueCount="68">
  <si>
    <t>No</t>
  </si>
  <si>
    <t>Nama Makanan</t>
  </si>
  <si>
    <t>Total Terjual</t>
  </si>
  <si>
    <t>Amplang</t>
  </si>
  <si>
    <t>Bawang Goreng</t>
  </si>
  <si>
    <t>Cheetos</t>
  </si>
  <si>
    <t>Cimol Kering</t>
  </si>
  <si>
    <t>DeSnack</t>
  </si>
  <si>
    <t>JajanYuk 18</t>
  </si>
  <si>
    <t>JajanYuk 21</t>
  </si>
  <si>
    <t>Kacang Disco</t>
  </si>
  <si>
    <t>Kentang Mustofa Daun Jeruk</t>
  </si>
  <si>
    <t>Keripik Singkong</t>
  </si>
  <si>
    <t>Keripik Tempe</t>
  </si>
  <si>
    <t>Komicin</t>
  </si>
  <si>
    <t>Lemonilo chimi</t>
  </si>
  <si>
    <t>Macaroni</t>
  </si>
  <si>
    <t>Mie Gemez</t>
  </si>
  <si>
    <t>Pisang Sale</t>
  </si>
  <si>
    <t>Pop Mie Mini</t>
  </si>
  <si>
    <t>Popcorn Ori</t>
  </si>
  <si>
    <t>Popcorn Rasa</t>
  </si>
  <si>
    <t>PopMie besar</t>
  </si>
  <si>
    <t>Sari gandum</t>
  </si>
  <si>
    <t>Yogurt</t>
  </si>
  <si>
    <t>YouC</t>
  </si>
  <si>
    <t>Tanggal</t>
  </si>
  <si>
    <t>Nama Produk</t>
  </si>
  <si>
    <t>Lantai</t>
  </si>
  <si>
    <t>Harga Jual</t>
  </si>
  <si>
    <t>Harga Beli</t>
  </si>
  <si>
    <t>Nama Karyawan</t>
  </si>
  <si>
    <t>Display Ideal</t>
  </si>
  <si>
    <t>Inventory</t>
  </si>
  <si>
    <t>Stock Pagi</t>
  </si>
  <si>
    <t>Restock h+1</t>
  </si>
  <si>
    <t>Return</t>
  </si>
  <si>
    <t>Stock Sore Olsera</t>
  </si>
  <si>
    <t>Stock Sore</t>
  </si>
  <si>
    <t>Terjual</t>
  </si>
  <si>
    <t>Uang Seharusnya Dibayar</t>
  </si>
  <si>
    <t>Nama</t>
  </si>
  <si>
    <t>Total Stock</t>
  </si>
  <si>
    <t>Stock Inventory + Display</t>
  </si>
  <si>
    <t>Dari Chat</t>
  </si>
  <si>
    <t>Selisih</t>
  </si>
  <si>
    <t>Compliance</t>
  </si>
  <si>
    <t>Florida</t>
  </si>
  <si>
    <t>Geby</t>
  </si>
  <si>
    <t>Desy</t>
  </si>
  <si>
    <t>Damaz</t>
  </si>
  <si>
    <t>Yohannes</t>
  </si>
  <si>
    <t>Vale</t>
  </si>
  <si>
    <t>Sherly</t>
  </si>
  <si>
    <t>PopMie Besar</t>
  </si>
  <si>
    <t>Produk</t>
  </si>
  <si>
    <t>lantai</t>
  </si>
  <si>
    <t>Jumlah</t>
  </si>
  <si>
    <t>Actual</t>
  </si>
  <si>
    <t>Display</t>
  </si>
  <si>
    <t>Notes</t>
  </si>
  <si>
    <t>Restock</t>
  </si>
  <si>
    <t>Stock display</t>
  </si>
  <si>
    <t>Popcorn ori</t>
  </si>
  <si>
    <t xml:space="preserve">YouC </t>
  </si>
  <si>
    <t>Oret2 an</t>
  </si>
  <si>
    <t>=IF(MAX(D323-I323,0)&lt;</t>
  </si>
  <si>
    <t>Total 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</si>
</sst>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Rp&quot;#,##0;[Red]\-&quot;Rp&quot;#,##0"/>
    <numFmt numFmtId="44" formatCode="_-&quot;Rp&quot;* #,##0.00_-;\-&quot;Rp&quot;* #,##0.00_-;_-&quot;Rp&quot;* &quot;-&quot;??_-;_-@_-"/>
    <numFmt numFmtId="164" formatCode="_(&quot;$&quot;* #,##0.00_);_(&quot;$&quot;* \(#,##0.00\);_(&quot;$&quot;* &quot;-&quot;??_);_(@_)"/>
    <numFmt numFmtId="165" formatCode="&quot;Rp&quot;#,##0.0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b/>
      <sz val="11"/>
      <color rgb="FFFFFFFF"/>
      <name val="Aptos Narrow"/>
      <family val="2"/>
    </font>
    <font>
      <b/>
      <sz val="11"/>
      <name val="Arial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rgb="FFFF0000"/>
      <name val="Aptos Narrow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</font>
    <font>
      <sz val="11"/>
      <color theme="1"/>
      <name val="Arial"/>
    </font>
    <font>
      <b/>
      <sz val="12"/>
      <color theme="1"/>
      <name val="Aptos Narrow"/>
      <family val="2"/>
    </font>
    <font>
      <sz val="12"/>
      <color theme="1"/>
      <name val="Aptos Narrow"/>
      <scheme val="minor"/>
    </font>
    <font>
      <b/>
      <sz val="11"/>
      <color rgb="FFFF0000"/>
      <name val="Arial"/>
      <charset val="1"/>
    </font>
    <font>
      <b/>
      <sz val="11"/>
      <color rgb="FFFF0000"/>
      <name val="Aptos Narrow"/>
      <charset val="1"/>
    </font>
    <font>
      <sz val="10"/>
      <color rgb="FF000000"/>
      <name val="Arial"/>
    </font>
    <font>
      <sz val="11"/>
      <color theme="1"/>
      <name val="Arial"/>
      <charset val="1"/>
    </font>
    <font>
      <sz val="11"/>
      <color theme="1"/>
      <name val="Aptos Narrow"/>
      <charset val="1"/>
    </font>
  </fonts>
  <fills count="18">
    <fill>
      <patternFill patternType="none"/>
    </fill>
    <fill>
      <patternFill patternType="gray125"/>
    </fill>
    <fill>
      <patternFill patternType="solid">
        <fgColor rgb="FF0E284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FFFFFF"/>
        <bgColor rgb="FF000000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/>
      <top style="thin">
        <color rgb="FFCCCCCC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164" fontId="10" fillId="0" borderId="0" applyFont="0" applyFill="0" applyBorder="0" applyAlignment="0" applyProtection="0"/>
  </cellStyleXfs>
  <cellXfs count="90">
    <xf numFmtId="0" fontId="0" fillId="0" borderId="0" xfId="0"/>
    <xf numFmtId="16" fontId="5" fillId="4" borderId="1" xfId="0" applyNumberFormat="1" applyFont="1" applyFill="1" applyBorder="1" applyAlignment="1">
      <alignment horizontal="center" vertical="center" wrapText="1"/>
    </xf>
    <xf numFmtId="6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16" fontId="6" fillId="4" borderId="1" xfId="0" applyNumberFormat="1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14" fontId="8" fillId="0" borderId="2" xfId="0" applyNumberFormat="1" applyFont="1" applyBorder="1" applyAlignment="1">
      <alignment horizontal="right" wrapText="1"/>
    </xf>
    <xf numFmtId="0" fontId="8" fillId="0" borderId="2" xfId="0" applyFont="1" applyBorder="1" applyAlignment="1">
      <alignment wrapText="1"/>
    </xf>
    <xf numFmtId="0" fontId="8" fillId="0" borderId="2" xfId="0" applyFont="1" applyBorder="1" applyAlignment="1">
      <alignment horizontal="center" wrapText="1"/>
    </xf>
    <xf numFmtId="6" fontId="8" fillId="0" borderId="2" xfId="0" applyNumberFormat="1" applyFont="1" applyBorder="1" applyAlignment="1">
      <alignment horizontal="right" wrapText="1"/>
    </xf>
    <xf numFmtId="0" fontId="8" fillId="0" borderId="2" xfId="0" applyFont="1" applyBorder="1" applyAlignment="1">
      <alignment horizontal="center" vertical="center" wrapText="1"/>
    </xf>
    <xf numFmtId="16" fontId="6" fillId="9" borderId="5" xfId="0" applyNumberFormat="1" applyFont="1" applyFill="1" applyBorder="1" applyAlignment="1">
      <alignment readingOrder="1"/>
    </xf>
    <xf numFmtId="0" fontId="6" fillId="9" borderId="6" xfId="0" applyFont="1" applyFill="1" applyBorder="1" applyAlignment="1">
      <alignment readingOrder="1"/>
    </xf>
    <xf numFmtId="0" fontId="6" fillId="10" borderId="6" xfId="0" applyFont="1" applyFill="1" applyBorder="1" applyAlignment="1">
      <alignment readingOrder="1"/>
    </xf>
    <xf numFmtId="16" fontId="6" fillId="11" borderId="5" xfId="0" applyNumberFormat="1" applyFont="1" applyFill="1" applyBorder="1" applyAlignment="1">
      <alignment readingOrder="1"/>
    </xf>
    <xf numFmtId="0" fontId="6" fillId="11" borderId="6" xfId="0" applyFont="1" applyFill="1" applyBorder="1" applyAlignment="1">
      <alignment readingOrder="1"/>
    </xf>
    <xf numFmtId="16" fontId="6" fillId="12" borderId="5" xfId="0" applyNumberFormat="1" applyFont="1" applyFill="1" applyBorder="1" applyAlignment="1">
      <alignment readingOrder="1"/>
    </xf>
    <xf numFmtId="0" fontId="6" fillId="12" borderId="6" xfId="0" applyFont="1" applyFill="1" applyBorder="1" applyAlignment="1">
      <alignment readingOrder="1"/>
    </xf>
    <xf numFmtId="0" fontId="9" fillId="7" borderId="2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4" fontId="8" fillId="0" borderId="2" xfId="0" applyNumberFormat="1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6" fontId="8" fillId="0" borderId="2" xfId="0" applyNumberFormat="1" applyFont="1" applyBorder="1" applyAlignment="1">
      <alignment horizontal="left" vertical="top" wrapText="1"/>
    </xf>
    <xf numFmtId="0" fontId="6" fillId="8" borderId="3" xfId="0" applyFont="1" applyFill="1" applyBorder="1" applyAlignment="1">
      <alignment readingOrder="1"/>
    </xf>
    <xf numFmtId="0" fontId="6" fillId="8" borderId="4" xfId="0" applyFont="1" applyFill="1" applyBorder="1" applyAlignment="1">
      <alignment readingOrder="1"/>
    </xf>
    <xf numFmtId="0" fontId="0" fillId="0" borderId="3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1" fillId="13" borderId="1" xfId="0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5" fontId="0" fillId="0" borderId="1" xfId="0" applyNumberFormat="1" applyBorder="1" applyAlignment="1">
      <alignment horizontal="center" vertical="center"/>
    </xf>
    <xf numFmtId="44" fontId="0" fillId="0" borderId="1" xfId="1" applyNumberFormat="1" applyFont="1" applyBorder="1" applyAlignment="1">
      <alignment horizontal="center" vertical="center"/>
    </xf>
    <xf numFmtId="0" fontId="6" fillId="9" borderId="3" xfId="0" applyFont="1" applyFill="1" applyBorder="1" applyAlignment="1">
      <alignment readingOrder="1"/>
    </xf>
    <xf numFmtId="0" fontId="6" fillId="8" borderId="8" xfId="0" applyFont="1" applyFill="1" applyBorder="1" applyAlignment="1">
      <alignment readingOrder="1"/>
    </xf>
    <xf numFmtId="0" fontId="6" fillId="9" borderId="9" xfId="0" applyFont="1" applyFill="1" applyBorder="1" applyAlignment="1">
      <alignment readingOrder="1"/>
    </xf>
    <xf numFmtId="0" fontId="6" fillId="11" borderId="9" xfId="0" applyFont="1" applyFill="1" applyBorder="1" applyAlignment="1">
      <alignment readingOrder="1"/>
    </xf>
    <xf numFmtId="0" fontId="6" fillId="12" borderId="9" xfId="0" applyFont="1" applyFill="1" applyBorder="1" applyAlignment="1">
      <alignment readingOrder="1"/>
    </xf>
    <xf numFmtId="0" fontId="12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6" fillId="0" borderId="12" xfId="0" applyFont="1" applyBorder="1" applyAlignment="1">
      <alignment readingOrder="1"/>
    </xf>
    <xf numFmtId="0" fontId="0" fillId="0" borderId="10" xfId="0" applyBorder="1" applyAlignment="1">
      <alignment horizontal="center" vertical="center"/>
    </xf>
    <xf numFmtId="0" fontId="11" fillId="13" borderId="7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8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15" fillId="8" borderId="3" xfId="0" applyFont="1" applyFill="1" applyBorder="1" applyAlignment="1">
      <alignment readingOrder="1"/>
    </xf>
    <xf numFmtId="0" fontId="15" fillId="8" borderId="4" xfId="0" applyFont="1" applyFill="1" applyBorder="1" applyAlignment="1">
      <alignment readingOrder="1"/>
    </xf>
    <xf numFmtId="16" fontId="0" fillId="0" borderId="0" xfId="0" applyNumberFormat="1"/>
    <xf numFmtId="0" fontId="0" fillId="0" borderId="0" xfId="0" applyAlignment="1">
      <alignment wrapText="1"/>
    </xf>
    <xf numFmtId="16" fontId="13" fillId="4" borderId="1" xfId="0" applyNumberFormat="1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6" fontId="13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6" fontId="5" fillId="5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6" fontId="12" fillId="5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16" fillId="14" borderId="1" xfId="0" applyFont="1" applyFill="1" applyBorder="1" applyAlignment="1">
      <alignment horizontal="center" readingOrder="1"/>
    </xf>
    <xf numFmtId="0" fontId="17" fillId="14" borderId="1" xfId="0" applyFont="1" applyFill="1" applyBorder="1" applyAlignment="1">
      <alignment horizontal="center" readingOrder="1"/>
    </xf>
    <xf numFmtId="0" fontId="16" fillId="15" borderId="1" xfId="0" applyFont="1" applyFill="1" applyBorder="1" applyAlignment="1">
      <alignment horizontal="center" readingOrder="1"/>
    </xf>
    <xf numFmtId="0" fontId="17" fillId="15" borderId="1" xfId="0" applyFont="1" applyFill="1" applyBorder="1" applyAlignment="1">
      <alignment horizontal="center" readingOrder="1"/>
    </xf>
    <xf numFmtId="0" fontId="16" fillId="16" borderId="1" xfId="0" applyFont="1" applyFill="1" applyBorder="1" applyAlignment="1">
      <alignment horizontal="center" readingOrder="1"/>
    </xf>
    <xf numFmtId="0" fontId="17" fillId="16" borderId="1" xfId="0" applyFont="1" applyFill="1" applyBorder="1" applyAlignment="1">
      <alignment horizontal="center" readingOrder="1"/>
    </xf>
    <xf numFmtId="0" fontId="18" fillId="17" borderId="13" xfId="0" applyFont="1" applyFill="1" applyBorder="1" applyAlignment="1">
      <alignment wrapText="1"/>
    </xf>
    <xf numFmtId="0" fontId="18" fillId="17" borderId="14" xfId="0" applyFont="1" applyFill="1" applyBorder="1" applyAlignment="1">
      <alignment wrapText="1"/>
    </xf>
    <xf numFmtId="0" fontId="19" fillId="14" borderId="3" xfId="0" applyFont="1" applyFill="1" applyBorder="1" applyAlignment="1">
      <alignment readingOrder="1"/>
    </xf>
    <xf numFmtId="0" fontId="20" fillId="14" borderId="5" xfId="0" applyFont="1" applyFill="1" applyBorder="1" applyAlignment="1">
      <alignment readingOrder="1"/>
    </xf>
    <xf numFmtId="0" fontId="19" fillId="14" borderId="5" xfId="0" applyFont="1" applyFill="1" applyBorder="1" applyAlignment="1">
      <alignment readingOrder="1"/>
    </xf>
    <xf numFmtId="0" fontId="19" fillId="15" borderId="5" xfId="0" applyFont="1" applyFill="1" applyBorder="1" applyAlignment="1">
      <alignment readingOrder="1"/>
    </xf>
    <xf numFmtId="0" fontId="20" fillId="15" borderId="5" xfId="0" applyFont="1" applyFill="1" applyBorder="1" applyAlignment="1">
      <alignment readingOrder="1"/>
    </xf>
    <xf numFmtId="0" fontId="19" fillId="16" borderId="5" xfId="0" applyFont="1" applyFill="1" applyBorder="1" applyAlignment="1">
      <alignment readingOrder="1"/>
    </xf>
    <xf numFmtId="0" fontId="20" fillId="16" borderId="5" xfId="0" applyFont="1" applyFill="1" applyBorder="1" applyAlignment="1">
      <alignment readingOrder="1"/>
    </xf>
    <xf numFmtId="0" fontId="20" fillId="0" borderId="15" xfId="0" applyFont="1" applyBorder="1" applyAlignment="1">
      <alignment readingOrder="1"/>
    </xf>
    <xf numFmtId="0" fontId="20" fillId="0" borderId="16" xfId="0" applyFont="1" applyBorder="1" applyAlignment="1">
      <alignment readingOrder="1"/>
    </xf>
    <xf numFmtId="0" fontId="20" fillId="0" borderId="5" xfId="0" applyFont="1" applyBorder="1" applyAlignment="1">
      <alignment readingOrder="1"/>
    </xf>
    <xf numFmtId="0" fontId="20" fillId="0" borderId="15" xfId="0" applyFont="1" applyBorder="1" applyAlignment="1">
      <alignment horizontal="center" vertical="center" readingOrder="1"/>
    </xf>
    <xf numFmtId="0" fontId="20" fillId="0" borderId="16" xfId="0" applyFont="1" applyBorder="1" applyAlignment="1">
      <alignment horizontal="center" vertical="center" readingOrder="1"/>
    </xf>
    <xf numFmtId="0" fontId="20" fillId="0" borderId="5" xfId="0" applyFont="1" applyBorder="1" applyAlignment="1">
      <alignment horizontal="center" vertical="center" readingOrder="1"/>
    </xf>
  </cellXfs>
  <cellStyles count="2">
    <cellStyle name="Currency" xfId="1" builtinId="4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externalLink" Target="externalLinks/externalLink2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68766\Downloads\master_data.xlsx" TargetMode="External"/><Relationship Id="rId1" Type="http://schemas.openxmlformats.org/officeDocument/2006/relationships/externalLinkPath" Target="file:///C:\Users\68766\Downloads\master_dat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69487_fif_co_id/Documents/Compliance/Compliance%20Culture/Tracking%20Stock%20dan%20Transaksi%20Warung%20Kejujuran.xlsx" TargetMode="External"/><Relationship Id="rId2" Type="http://schemas.openxmlformats.org/officeDocument/2006/relationships/externalLinkPath" Target="https://fifo365-my.sharepoint.com/personal/69487_fif_co_id/Documents/Compliance/Compliance%20Culture/Tracking%20Stock%20dan%20Transaksi%20Warung%20Kejujuran.xlsx" TargetMode="External"/><Relationship Id="rId1" Type="http://schemas.openxmlformats.org/officeDocument/2006/relationships/externalLinkPath" Target="/personal/69487_fif_co_id/Documents/Compliance/Compliance%20Culture/Tracking%20Stock%20dan%20Transaksi%20Warung%20Kejujur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ntai3"/>
      <sheetName val="lantai8"/>
      <sheetName val="lantai9"/>
    </sheetNames>
    <sheetDataSet>
      <sheetData sheetId="0"/>
      <sheetData sheetId="1">
        <row r="1">
          <cell r="B1" t="str">
            <v>Produk</v>
          </cell>
        </row>
      </sheetData>
      <sheetData sheetId="2">
        <row r="1">
          <cell r="B1" t="str">
            <v>Produk</v>
          </cell>
          <cell r="C1" t="str">
            <v>lantai</v>
          </cell>
          <cell r="D1" t="str">
            <v>Jumlah</v>
          </cell>
          <cell r="E1" t="str">
            <v>Actual</v>
          </cell>
          <cell r="F1" t="str">
            <v>Display</v>
          </cell>
          <cell r="G1" t="str">
            <v>Harga Jual</v>
          </cell>
        </row>
        <row r="2">
          <cell r="B2" t="str">
            <v>Bawang Goreng</v>
          </cell>
          <cell r="C2">
            <v>9</v>
          </cell>
          <cell r="D2">
            <v>5</v>
          </cell>
          <cell r="E2">
            <v>1</v>
          </cell>
          <cell r="F2">
            <v>4</v>
          </cell>
          <cell r="G2">
            <v>35000</v>
          </cell>
        </row>
        <row r="3">
          <cell r="B3" t="str">
            <v>Keripik Tempe</v>
          </cell>
          <cell r="C3">
            <v>9</v>
          </cell>
          <cell r="D3">
            <v>6</v>
          </cell>
          <cell r="E3">
            <v>5</v>
          </cell>
          <cell r="F3">
            <v>1</v>
          </cell>
          <cell r="G3">
            <v>23000</v>
          </cell>
        </row>
        <row r="4">
          <cell r="B4" t="str">
            <v>Keripik Singkong</v>
          </cell>
          <cell r="C4">
            <v>9</v>
          </cell>
          <cell r="D4">
            <v>2</v>
          </cell>
          <cell r="E4">
            <v>0</v>
          </cell>
          <cell r="F4">
            <v>2</v>
          </cell>
          <cell r="G4">
            <v>21000</v>
          </cell>
        </row>
        <row r="5">
          <cell r="B5" t="str">
            <v>Kentang Mustofa Daun Jeruk</v>
          </cell>
          <cell r="C5">
            <v>9</v>
          </cell>
          <cell r="D5">
            <v>3</v>
          </cell>
          <cell r="E5">
            <v>0</v>
          </cell>
          <cell r="F5">
            <v>3</v>
          </cell>
          <cell r="G5">
            <v>36000</v>
          </cell>
        </row>
        <row r="6">
          <cell r="B6" t="str">
            <v>Komicin</v>
          </cell>
          <cell r="C6">
            <v>9</v>
          </cell>
          <cell r="D6">
            <v>5</v>
          </cell>
          <cell r="E6">
            <v>7</v>
          </cell>
          <cell r="F6">
            <v>-2</v>
          </cell>
          <cell r="G6">
            <v>23000</v>
          </cell>
        </row>
        <row r="7">
          <cell r="B7" t="str">
            <v>DeSnack</v>
          </cell>
          <cell r="C7">
            <v>9</v>
          </cell>
          <cell r="D7">
            <v>6</v>
          </cell>
          <cell r="E7">
            <v>0</v>
          </cell>
          <cell r="F7">
            <v>6</v>
          </cell>
          <cell r="G7">
            <v>15000</v>
          </cell>
        </row>
        <row r="8">
          <cell r="B8" t="str">
            <v>Macaroni</v>
          </cell>
          <cell r="C8">
            <v>9</v>
          </cell>
          <cell r="D8">
            <v>6</v>
          </cell>
          <cell r="E8">
            <v>0</v>
          </cell>
          <cell r="F8">
            <v>6</v>
          </cell>
          <cell r="G8">
            <v>18000</v>
          </cell>
        </row>
        <row r="9">
          <cell r="B9" t="str">
            <v>Cimol Kering</v>
          </cell>
          <cell r="C9">
            <v>9</v>
          </cell>
          <cell r="D9">
            <v>2</v>
          </cell>
          <cell r="E9">
            <v>0</v>
          </cell>
          <cell r="F9">
            <v>2</v>
          </cell>
          <cell r="G9">
            <v>21000</v>
          </cell>
        </row>
        <row r="10">
          <cell r="B10" t="str">
            <v>JajanYuk 18</v>
          </cell>
          <cell r="C10">
            <v>9</v>
          </cell>
          <cell r="D10">
            <v>4</v>
          </cell>
          <cell r="E10">
            <v>0</v>
          </cell>
          <cell r="F10">
            <v>4</v>
          </cell>
          <cell r="G10">
            <v>18000</v>
          </cell>
        </row>
        <row r="11">
          <cell r="B11" t="str">
            <v>JajanYuk 21</v>
          </cell>
          <cell r="C11">
            <v>9</v>
          </cell>
          <cell r="D11">
            <v>3</v>
          </cell>
          <cell r="E11">
            <v>1</v>
          </cell>
          <cell r="F11">
            <v>2</v>
          </cell>
          <cell r="G11">
            <v>21000</v>
          </cell>
        </row>
        <row r="12">
          <cell r="B12" t="str">
            <v>Popcorn Ori</v>
          </cell>
          <cell r="C12">
            <v>9</v>
          </cell>
          <cell r="D12">
            <v>2</v>
          </cell>
          <cell r="E12">
            <v>0</v>
          </cell>
          <cell r="F12">
            <v>2</v>
          </cell>
          <cell r="G12">
            <v>35000</v>
          </cell>
        </row>
        <row r="13">
          <cell r="B13" t="str">
            <v>Popcorn Rasa</v>
          </cell>
          <cell r="C13">
            <v>9</v>
          </cell>
          <cell r="D13">
            <v>4</v>
          </cell>
          <cell r="E13">
            <v>0</v>
          </cell>
          <cell r="F13">
            <v>4</v>
          </cell>
          <cell r="G13">
            <v>40000</v>
          </cell>
        </row>
        <row r="14">
          <cell r="B14" t="str">
            <v>Pop Mie Mini</v>
          </cell>
          <cell r="C14">
            <v>9</v>
          </cell>
          <cell r="D14">
            <v>12</v>
          </cell>
          <cell r="E14">
            <v>2</v>
          </cell>
          <cell r="F14">
            <v>10</v>
          </cell>
          <cell r="G14">
            <v>2500</v>
          </cell>
        </row>
        <row r="15">
          <cell r="B15" t="str">
            <v>Mie Gemez</v>
          </cell>
          <cell r="C15">
            <v>9</v>
          </cell>
          <cell r="D15">
            <v>10</v>
          </cell>
          <cell r="E15">
            <v>7</v>
          </cell>
          <cell r="F15">
            <v>3</v>
          </cell>
          <cell r="G15">
            <v>2000</v>
          </cell>
        </row>
        <row r="16">
          <cell r="B16" t="str">
            <v>Cheetos</v>
          </cell>
          <cell r="C16">
            <v>9</v>
          </cell>
          <cell r="D16">
            <v>10</v>
          </cell>
          <cell r="E16">
            <v>3</v>
          </cell>
          <cell r="F16">
            <v>7</v>
          </cell>
          <cell r="G16">
            <v>2500</v>
          </cell>
        </row>
        <row r="17">
          <cell r="B17" t="str">
            <v>Amplang</v>
          </cell>
          <cell r="C17">
            <v>9</v>
          </cell>
          <cell r="D17">
            <v>15</v>
          </cell>
          <cell r="E17">
            <v>0</v>
          </cell>
          <cell r="F17">
            <v>15</v>
          </cell>
          <cell r="G17">
            <v>10000</v>
          </cell>
        </row>
        <row r="18">
          <cell r="B18" t="str">
            <v>Pisang Sale</v>
          </cell>
          <cell r="C18">
            <v>9</v>
          </cell>
          <cell r="D18">
            <v>10</v>
          </cell>
          <cell r="E18">
            <v>9</v>
          </cell>
          <cell r="F18">
            <v>1</v>
          </cell>
          <cell r="G18">
            <v>15000</v>
          </cell>
        </row>
        <row r="19">
          <cell r="B19" t="str">
            <v>Kacang Disco</v>
          </cell>
          <cell r="C19">
            <v>9</v>
          </cell>
          <cell r="D19">
            <v>7</v>
          </cell>
          <cell r="E19">
            <v>0</v>
          </cell>
          <cell r="F19">
            <v>7</v>
          </cell>
          <cell r="G19">
            <v>23000</v>
          </cell>
        </row>
        <row r="20">
          <cell r="B20" t="str">
            <v>Sari gandum</v>
          </cell>
          <cell r="C20">
            <v>9</v>
          </cell>
          <cell r="D20">
            <v>8</v>
          </cell>
          <cell r="E20">
            <v>3</v>
          </cell>
          <cell r="F20">
            <v>5</v>
          </cell>
          <cell r="G20">
            <v>11000</v>
          </cell>
        </row>
        <row r="21">
          <cell r="B21" t="str">
            <v>Yogurt</v>
          </cell>
          <cell r="C21">
            <v>9</v>
          </cell>
          <cell r="D21">
            <v>6</v>
          </cell>
          <cell r="E21">
            <v>1</v>
          </cell>
          <cell r="F21">
            <v>5</v>
          </cell>
          <cell r="G21">
            <v>14500</v>
          </cell>
        </row>
        <row r="22">
          <cell r="B22" t="str">
            <v>Lemonilo chimi</v>
          </cell>
          <cell r="C22">
            <v>9</v>
          </cell>
          <cell r="D22">
            <v>20</v>
          </cell>
          <cell r="E22">
            <v>4</v>
          </cell>
          <cell r="F22">
            <v>16</v>
          </cell>
          <cell r="G22">
            <v>3500</v>
          </cell>
        </row>
        <row r="23">
          <cell r="B23" t="str">
            <v>PopMie besar</v>
          </cell>
          <cell r="C23">
            <v>9</v>
          </cell>
          <cell r="D23">
            <v>8</v>
          </cell>
          <cell r="E23">
            <v>3</v>
          </cell>
          <cell r="F23">
            <v>5</v>
          </cell>
          <cell r="G23">
            <v>5500</v>
          </cell>
        </row>
        <row r="24">
          <cell r="B24" t="str">
            <v>YouC</v>
          </cell>
          <cell r="C24">
            <v>9</v>
          </cell>
          <cell r="D24">
            <v>3</v>
          </cell>
          <cell r="E24">
            <v>1</v>
          </cell>
          <cell r="F24">
            <v>2</v>
          </cell>
          <cell r="G24">
            <v>9000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 SO"/>
      <sheetName val="SO Warung"/>
      <sheetName val="Penjualan"/>
      <sheetName val="Sheet2"/>
      <sheetName val="Sheet1"/>
      <sheetName val="Stock Karyawan"/>
      <sheetName val="Hasil Transaksi"/>
    </sheetNames>
    <sheetDataSet>
      <sheetData sheetId="0"/>
      <sheetData sheetId="1">
        <row r="1">
          <cell r="A1" t="str">
            <v>Tanggal</v>
          </cell>
          <cell r="B1" t="str">
            <v>Nama Produk</v>
          </cell>
          <cell r="D1" t="str">
            <v>Lantai</v>
          </cell>
          <cell r="J1" t="str">
            <v>Terjual</v>
          </cell>
        </row>
        <row r="2">
          <cell r="A2">
            <v>46142</v>
          </cell>
          <cell r="B2" t="str">
            <v>Bawang Goreng</v>
          </cell>
          <cell r="D2">
            <v>3</v>
          </cell>
          <cell r="J2">
            <v>5</v>
          </cell>
        </row>
        <row r="3">
          <cell r="A3">
            <v>46142</v>
          </cell>
          <cell r="B3" t="str">
            <v>Keripik Tempe</v>
          </cell>
          <cell r="D3">
            <v>3</v>
          </cell>
          <cell r="J3">
            <v>6</v>
          </cell>
        </row>
        <row r="4">
          <cell r="A4">
            <v>46142</v>
          </cell>
          <cell r="B4" t="str">
            <v>Keripik Singkong</v>
          </cell>
          <cell r="D4">
            <v>3</v>
          </cell>
          <cell r="J4">
            <v>0</v>
          </cell>
        </row>
        <row r="5">
          <cell r="A5">
            <v>46142</v>
          </cell>
          <cell r="B5" t="str">
            <v>Kentang Mustofa Daun Jeruk</v>
          </cell>
          <cell r="D5">
            <v>3</v>
          </cell>
          <cell r="J5">
            <v>0</v>
          </cell>
        </row>
        <row r="6">
          <cell r="A6">
            <v>46142</v>
          </cell>
          <cell r="B6" t="str">
            <v>Komicin</v>
          </cell>
          <cell r="D6">
            <v>3</v>
          </cell>
          <cell r="J6">
            <v>3</v>
          </cell>
        </row>
        <row r="7">
          <cell r="A7">
            <v>46142</v>
          </cell>
          <cell r="B7" t="str">
            <v>DeSnack</v>
          </cell>
          <cell r="D7">
            <v>3</v>
          </cell>
          <cell r="J7">
            <v>1</v>
          </cell>
        </row>
        <row r="8">
          <cell r="A8">
            <v>46142</v>
          </cell>
          <cell r="B8" t="str">
            <v>Macaroni</v>
          </cell>
          <cell r="D8">
            <v>3</v>
          </cell>
          <cell r="J8">
            <v>2</v>
          </cell>
        </row>
        <row r="9">
          <cell r="A9">
            <v>46142</v>
          </cell>
          <cell r="B9" t="str">
            <v>Cimol Kering</v>
          </cell>
          <cell r="D9">
            <v>3</v>
          </cell>
          <cell r="J9">
            <v>0</v>
          </cell>
        </row>
        <row r="10">
          <cell r="A10">
            <v>46142</v>
          </cell>
          <cell r="B10" t="str">
            <v>Popcorn Ori</v>
          </cell>
          <cell r="D10">
            <v>3</v>
          </cell>
          <cell r="J10">
            <v>2</v>
          </cell>
        </row>
        <row r="11">
          <cell r="A11">
            <v>46142</v>
          </cell>
          <cell r="B11" t="str">
            <v>Popcorn Rasa</v>
          </cell>
          <cell r="D11">
            <v>3</v>
          </cell>
          <cell r="J11">
            <v>3</v>
          </cell>
        </row>
        <row r="12">
          <cell r="A12">
            <v>46142</v>
          </cell>
          <cell r="B12" t="str">
            <v>Pop Mie Mini</v>
          </cell>
          <cell r="D12">
            <v>3</v>
          </cell>
          <cell r="J12">
            <v>0</v>
          </cell>
        </row>
        <row r="13">
          <cell r="A13">
            <v>46142</v>
          </cell>
          <cell r="B13" t="str">
            <v>Mie Gemez</v>
          </cell>
          <cell r="D13">
            <v>3</v>
          </cell>
          <cell r="J13">
            <v>6</v>
          </cell>
        </row>
        <row r="14">
          <cell r="A14">
            <v>46142</v>
          </cell>
          <cell r="B14" t="str">
            <v>Cheetos</v>
          </cell>
          <cell r="D14">
            <v>3</v>
          </cell>
          <cell r="J14">
            <v>5</v>
          </cell>
        </row>
        <row r="15">
          <cell r="A15">
            <v>46142</v>
          </cell>
          <cell r="B15" t="str">
            <v>Amplang</v>
          </cell>
          <cell r="D15">
            <v>3</v>
          </cell>
          <cell r="J15">
            <v>0</v>
          </cell>
        </row>
        <row r="16">
          <cell r="A16">
            <v>46142</v>
          </cell>
          <cell r="B16" t="str">
            <v>Pisang Sale</v>
          </cell>
          <cell r="D16">
            <v>3</v>
          </cell>
          <cell r="J16">
            <v>2</v>
          </cell>
        </row>
        <row r="17">
          <cell r="A17">
            <v>46142</v>
          </cell>
          <cell r="B17" t="str">
            <v>Kacang Disco</v>
          </cell>
          <cell r="D17">
            <v>3</v>
          </cell>
          <cell r="J17">
            <v>1</v>
          </cell>
        </row>
        <row r="18">
          <cell r="A18">
            <v>46142</v>
          </cell>
          <cell r="B18" t="str">
            <v>Bawang Goreng</v>
          </cell>
          <cell r="D18">
            <v>8</v>
          </cell>
          <cell r="J18">
            <v>1</v>
          </cell>
        </row>
        <row r="19">
          <cell r="A19">
            <v>46142</v>
          </cell>
          <cell r="B19" t="str">
            <v>Keripik Tempe</v>
          </cell>
          <cell r="D19">
            <v>8</v>
          </cell>
          <cell r="J19">
            <v>6</v>
          </cell>
        </row>
        <row r="20">
          <cell r="A20">
            <v>46142</v>
          </cell>
          <cell r="B20" t="str">
            <v>Keripik Singkong</v>
          </cell>
          <cell r="D20">
            <v>8</v>
          </cell>
          <cell r="J20">
            <v>1</v>
          </cell>
        </row>
        <row r="21">
          <cell r="A21">
            <v>46142</v>
          </cell>
          <cell r="B21" t="str">
            <v>Kentang Mustofa Daun Jeruk</v>
          </cell>
          <cell r="D21">
            <v>8</v>
          </cell>
          <cell r="J21">
            <v>1</v>
          </cell>
        </row>
        <row r="22">
          <cell r="A22">
            <v>46142</v>
          </cell>
          <cell r="B22" t="str">
            <v>Komicin</v>
          </cell>
          <cell r="D22">
            <v>8</v>
          </cell>
          <cell r="J22">
            <v>5</v>
          </cell>
        </row>
        <row r="23">
          <cell r="A23">
            <v>46142</v>
          </cell>
          <cell r="B23" t="str">
            <v>DeSnack</v>
          </cell>
          <cell r="D23">
            <v>8</v>
          </cell>
          <cell r="J23">
            <v>4</v>
          </cell>
        </row>
        <row r="24">
          <cell r="A24">
            <v>46142</v>
          </cell>
          <cell r="B24" t="str">
            <v>Macaroni</v>
          </cell>
          <cell r="D24">
            <v>8</v>
          </cell>
          <cell r="J24">
            <v>4</v>
          </cell>
        </row>
        <row r="25">
          <cell r="A25">
            <v>46142</v>
          </cell>
          <cell r="B25" t="str">
            <v>Cimol Kering</v>
          </cell>
          <cell r="D25">
            <v>8</v>
          </cell>
          <cell r="J25">
            <v>2</v>
          </cell>
        </row>
        <row r="26">
          <cell r="A26">
            <v>46142</v>
          </cell>
          <cell r="B26" t="str">
            <v>Popcorn Ori</v>
          </cell>
          <cell r="D26">
            <v>8</v>
          </cell>
          <cell r="J26">
            <v>1</v>
          </cell>
        </row>
        <row r="27">
          <cell r="A27">
            <v>46142</v>
          </cell>
          <cell r="B27" t="str">
            <v>Popcorn Rasa</v>
          </cell>
          <cell r="D27">
            <v>8</v>
          </cell>
          <cell r="J27">
            <v>1</v>
          </cell>
        </row>
        <row r="28">
          <cell r="A28">
            <v>46142</v>
          </cell>
          <cell r="B28" t="str">
            <v>Pop Mie Mini</v>
          </cell>
          <cell r="D28">
            <v>8</v>
          </cell>
          <cell r="J28">
            <v>2</v>
          </cell>
        </row>
        <row r="29">
          <cell r="A29">
            <v>46142</v>
          </cell>
          <cell r="B29" t="str">
            <v>Mie Gemez</v>
          </cell>
          <cell r="D29">
            <v>8</v>
          </cell>
          <cell r="J29">
            <v>9</v>
          </cell>
        </row>
        <row r="30">
          <cell r="A30">
            <v>46142</v>
          </cell>
          <cell r="B30" t="str">
            <v>Cheetos</v>
          </cell>
          <cell r="D30">
            <v>8</v>
          </cell>
          <cell r="J30">
            <v>8</v>
          </cell>
        </row>
        <row r="31">
          <cell r="A31">
            <v>46142</v>
          </cell>
          <cell r="B31" t="str">
            <v>Amplang</v>
          </cell>
          <cell r="D31">
            <v>8</v>
          </cell>
          <cell r="J31">
            <v>0</v>
          </cell>
        </row>
        <row r="32">
          <cell r="A32">
            <v>46142</v>
          </cell>
          <cell r="B32" t="str">
            <v>Pisang Sale</v>
          </cell>
          <cell r="D32">
            <v>8</v>
          </cell>
          <cell r="J32">
            <v>9</v>
          </cell>
        </row>
        <row r="33">
          <cell r="A33">
            <v>46142</v>
          </cell>
          <cell r="B33" t="str">
            <v>Kacang Disco</v>
          </cell>
          <cell r="D33">
            <v>8</v>
          </cell>
          <cell r="J33">
            <v>2</v>
          </cell>
        </row>
        <row r="34">
          <cell r="A34">
            <v>46142</v>
          </cell>
          <cell r="B34" t="str">
            <v>Bawang Goreng</v>
          </cell>
          <cell r="D34">
            <v>9</v>
          </cell>
          <cell r="J34">
            <v>5</v>
          </cell>
        </row>
        <row r="35">
          <cell r="A35">
            <v>46142</v>
          </cell>
          <cell r="B35" t="str">
            <v>Keripik Tempe</v>
          </cell>
          <cell r="D35">
            <v>9</v>
          </cell>
          <cell r="J35">
            <v>5</v>
          </cell>
        </row>
        <row r="36">
          <cell r="A36">
            <v>46142</v>
          </cell>
          <cell r="B36" t="str">
            <v>Keripik Singkong</v>
          </cell>
          <cell r="D36">
            <v>9</v>
          </cell>
          <cell r="J36">
            <v>0</v>
          </cell>
        </row>
        <row r="37">
          <cell r="A37">
            <v>46142</v>
          </cell>
          <cell r="B37" t="str">
            <v>Kentang Mustofa Daun Jeruk</v>
          </cell>
          <cell r="D37">
            <v>9</v>
          </cell>
          <cell r="J37">
            <v>2</v>
          </cell>
        </row>
        <row r="38">
          <cell r="A38">
            <v>46142</v>
          </cell>
          <cell r="B38" t="str">
            <v>Komicin</v>
          </cell>
          <cell r="D38">
            <v>9</v>
          </cell>
          <cell r="J38">
            <v>5</v>
          </cell>
        </row>
        <row r="39">
          <cell r="A39">
            <v>46142</v>
          </cell>
          <cell r="B39" t="str">
            <v>DeSnack</v>
          </cell>
          <cell r="D39">
            <v>9</v>
          </cell>
          <cell r="J39">
            <v>3</v>
          </cell>
        </row>
        <row r="40">
          <cell r="A40">
            <v>46142</v>
          </cell>
          <cell r="B40" t="str">
            <v>Macaroni</v>
          </cell>
          <cell r="D40">
            <v>9</v>
          </cell>
          <cell r="J40">
            <v>2</v>
          </cell>
        </row>
        <row r="41">
          <cell r="A41">
            <v>46142</v>
          </cell>
          <cell r="B41" t="str">
            <v>Cimol Kering</v>
          </cell>
          <cell r="D41">
            <v>9</v>
          </cell>
          <cell r="J41">
            <v>2</v>
          </cell>
        </row>
        <row r="42">
          <cell r="A42">
            <v>46142</v>
          </cell>
          <cell r="B42" t="str">
            <v>Popcorn Ori</v>
          </cell>
          <cell r="D42">
            <v>9</v>
          </cell>
          <cell r="J42">
            <v>2</v>
          </cell>
        </row>
        <row r="43">
          <cell r="A43">
            <v>46142</v>
          </cell>
          <cell r="B43" t="str">
            <v>Popcorn Rasa</v>
          </cell>
          <cell r="D43">
            <v>9</v>
          </cell>
          <cell r="J43">
            <v>0</v>
          </cell>
        </row>
        <row r="44">
          <cell r="A44">
            <v>46142</v>
          </cell>
          <cell r="B44" t="str">
            <v>Pop Mie Mini</v>
          </cell>
          <cell r="D44">
            <v>9</v>
          </cell>
          <cell r="J44">
            <v>1</v>
          </cell>
        </row>
        <row r="45">
          <cell r="A45">
            <v>46142</v>
          </cell>
          <cell r="B45" t="str">
            <v>Mie Gemez</v>
          </cell>
          <cell r="D45">
            <v>9</v>
          </cell>
          <cell r="J45">
            <v>8</v>
          </cell>
        </row>
        <row r="46">
          <cell r="A46">
            <v>46142</v>
          </cell>
          <cell r="B46" t="str">
            <v>Cheetos</v>
          </cell>
          <cell r="D46">
            <v>9</v>
          </cell>
          <cell r="J46">
            <v>1</v>
          </cell>
        </row>
        <row r="47">
          <cell r="A47">
            <v>46142</v>
          </cell>
          <cell r="B47" t="str">
            <v>Amplang</v>
          </cell>
          <cell r="D47">
            <v>9</v>
          </cell>
          <cell r="J47">
            <v>1</v>
          </cell>
        </row>
        <row r="48">
          <cell r="A48">
            <v>46142</v>
          </cell>
          <cell r="B48" t="str">
            <v>Pisang Sale</v>
          </cell>
          <cell r="D48">
            <v>9</v>
          </cell>
          <cell r="J48">
            <v>8</v>
          </cell>
        </row>
        <row r="49">
          <cell r="A49">
            <v>46142</v>
          </cell>
          <cell r="B49" t="str">
            <v>Kacang Disco</v>
          </cell>
          <cell r="D49">
            <v>9</v>
          </cell>
          <cell r="J49">
            <v>1</v>
          </cell>
        </row>
        <row r="50">
          <cell r="A50">
            <v>46146</v>
          </cell>
          <cell r="B50" t="str">
            <v>Bawang Goreng</v>
          </cell>
          <cell r="D50">
            <v>3</v>
          </cell>
          <cell r="J50">
            <v>0</v>
          </cell>
        </row>
        <row r="51">
          <cell r="A51">
            <v>46146</v>
          </cell>
          <cell r="B51" t="str">
            <v>Keripik Tempe</v>
          </cell>
          <cell r="D51">
            <v>3</v>
          </cell>
          <cell r="J51">
            <v>4</v>
          </cell>
        </row>
        <row r="52">
          <cell r="A52">
            <v>46146</v>
          </cell>
          <cell r="B52" t="str">
            <v>Keripik Singkong</v>
          </cell>
          <cell r="D52">
            <v>3</v>
          </cell>
          <cell r="J52">
            <v>0</v>
          </cell>
        </row>
        <row r="53">
          <cell r="A53">
            <v>46146</v>
          </cell>
          <cell r="B53" t="str">
            <v>Kentang Mustofa Daun Jeruk</v>
          </cell>
          <cell r="D53">
            <v>3</v>
          </cell>
          <cell r="J53">
            <v>0</v>
          </cell>
        </row>
        <row r="54">
          <cell r="A54">
            <v>46146</v>
          </cell>
          <cell r="B54" t="str">
            <v>Komicin</v>
          </cell>
          <cell r="D54">
            <v>3</v>
          </cell>
          <cell r="J54">
            <v>2</v>
          </cell>
        </row>
        <row r="55">
          <cell r="A55">
            <v>46146</v>
          </cell>
          <cell r="B55" t="str">
            <v>DeSnack</v>
          </cell>
          <cell r="D55">
            <v>3</v>
          </cell>
          <cell r="J55">
            <v>1</v>
          </cell>
        </row>
        <row r="56">
          <cell r="A56">
            <v>46146</v>
          </cell>
          <cell r="B56" t="str">
            <v>Macaroni</v>
          </cell>
          <cell r="D56">
            <v>3</v>
          </cell>
          <cell r="J56">
            <v>3</v>
          </cell>
        </row>
        <row r="57">
          <cell r="A57">
            <v>46146</v>
          </cell>
          <cell r="B57" t="str">
            <v>Cimol Kering</v>
          </cell>
          <cell r="D57">
            <v>3</v>
          </cell>
          <cell r="J57">
            <v>1</v>
          </cell>
        </row>
        <row r="58">
          <cell r="A58">
            <v>46146</v>
          </cell>
          <cell r="B58" t="str">
            <v>Popcorn Ori</v>
          </cell>
          <cell r="D58">
            <v>3</v>
          </cell>
          <cell r="J58">
            <v>1</v>
          </cell>
        </row>
        <row r="59">
          <cell r="A59">
            <v>46146</v>
          </cell>
          <cell r="B59" t="str">
            <v>Popcorn Rasa</v>
          </cell>
          <cell r="D59">
            <v>3</v>
          </cell>
          <cell r="J59">
            <v>0</v>
          </cell>
        </row>
        <row r="60">
          <cell r="A60">
            <v>46146</v>
          </cell>
          <cell r="B60" t="str">
            <v>Pop Mie Mini</v>
          </cell>
          <cell r="D60">
            <v>3</v>
          </cell>
          <cell r="J60">
            <v>0</v>
          </cell>
        </row>
        <row r="61">
          <cell r="A61">
            <v>46146</v>
          </cell>
          <cell r="B61" t="str">
            <v>Mie Gemez</v>
          </cell>
          <cell r="D61">
            <v>3</v>
          </cell>
          <cell r="J61">
            <v>0</v>
          </cell>
        </row>
        <row r="62">
          <cell r="A62">
            <v>46146</v>
          </cell>
          <cell r="B62" t="str">
            <v>Cheetos</v>
          </cell>
          <cell r="D62">
            <v>3</v>
          </cell>
          <cell r="J62">
            <v>1</v>
          </cell>
        </row>
        <row r="63">
          <cell r="A63">
            <v>46146</v>
          </cell>
          <cell r="B63" t="str">
            <v>Amplang</v>
          </cell>
          <cell r="D63">
            <v>3</v>
          </cell>
          <cell r="J63">
            <v>2</v>
          </cell>
        </row>
        <row r="64">
          <cell r="A64">
            <v>46146</v>
          </cell>
          <cell r="B64" t="str">
            <v>Pisang Sale</v>
          </cell>
          <cell r="D64">
            <v>3</v>
          </cell>
          <cell r="J64">
            <v>6</v>
          </cell>
        </row>
        <row r="65">
          <cell r="A65">
            <v>46146</v>
          </cell>
          <cell r="B65" t="str">
            <v>Kacang Disco</v>
          </cell>
          <cell r="D65">
            <v>3</v>
          </cell>
          <cell r="J65">
            <v>1</v>
          </cell>
        </row>
        <row r="66">
          <cell r="A66">
            <v>46146</v>
          </cell>
          <cell r="B66" t="str">
            <v>Bawang Goreng</v>
          </cell>
          <cell r="D66">
            <v>8</v>
          </cell>
          <cell r="J66">
            <v>0</v>
          </cell>
        </row>
        <row r="67">
          <cell r="A67">
            <v>46146</v>
          </cell>
          <cell r="B67" t="str">
            <v>Keripik Tempe</v>
          </cell>
          <cell r="D67">
            <v>8</v>
          </cell>
          <cell r="J67">
            <v>0</v>
          </cell>
        </row>
        <row r="68">
          <cell r="A68">
            <v>46146</v>
          </cell>
          <cell r="B68" t="str">
            <v>Keripik Singkong</v>
          </cell>
          <cell r="D68">
            <v>8</v>
          </cell>
          <cell r="J68">
            <v>0</v>
          </cell>
        </row>
        <row r="69">
          <cell r="A69">
            <v>46146</v>
          </cell>
          <cell r="B69" t="str">
            <v>Kentang Mustofa Daun Jeruk</v>
          </cell>
          <cell r="D69">
            <v>8</v>
          </cell>
          <cell r="J69">
            <v>0</v>
          </cell>
        </row>
        <row r="70">
          <cell r="A70">
            <v>46146</v>
          </cell>
          <cell r="B70" t="str">
            <v>Komicin</v>
          </cell>
          <cell r="D70">
            <v>8</v>
          </cell>
          <cell r="J70">
            <v>0</v>
          </cell>
        </row>
        <row r="71">
          <cell r="A71">
            <v>46146</v>
          </cell>
          <cell r="B71" t="str">
            <v>DeSnack</v>
          </cell>
          <cell r="D71">
            <v>8</v>
          </cell>
          <cell r="J71">
            <v>3</v>
          </cell>
        </row>
        <row r="72">
          <cell r="A72">
            <v>46146</v>
          </cell>
          <cell r="B72" t="str">
            <v>Macaroni</v>
          </cell>
          <cell r="D72">
            <v>8</v>
          </cell>
          <cell r="J72">
            <v>4</v>
          </cell>
        </row>
        <row r="73">
          <cell r="A73">
            <v>46146</v>
          </cell>
          <cell r="B73" t="str">
            <v>Cimol Kering</v>
          </cell>
          <cell r="D73">
            <v>8</v>
          </cell>
          <cell r="J73">
            <v>0</v>
          </cell>
        </row>
        <row r="74">
          <cell r="A74">
            <v>46146</v>
          </cell>
          <cell r="B74" t="str">
            <v>Popcorn Ori</v>
          </cell>
          <cell r="D74">
            <v>8</v>
          </cell>
          <cell r="J74">
            <v>0</v>
          </cell>
        </row>
        <row r="75">
          <cell r="A75">
            <v>46146</v>
          </cell>
          <cell r="B75" t="str">
            <v>Popcorn Rasa</v>
          </cell>
          <cell r="D75">
            <v>8</v>
          </cell>
          <cell r="J75">
            <v>0</v>
          </cell>
        </row>
        <row r="76">
          <cell r="A76">
            <v>46146</v>
          </cell>
          <cell r="B76" t="str">
            <v>Pop Mie Mini</v>
          </cell>
          <cell r="D76">
            <v>8</v>
          </cell>
          <cell r="J76">
            <v>4</v>
          </cell>
        </row>
        <row r="77">
          <cell r="A77">
            <v>46146</v>
          </cell>
          <cell r="B77" t="str">
            <v>Mie Gemez</v>
          </cell>
          <cell r="D77">
            <v>8</v>
          </cell>
          <cell r="J77">
            <v>0</v>
          </cell>
        </row>
        <row r="78">
          <cell r="A78">
            <v>46146</v>
          </cell>
          <cell r="B78" t="str">
            <v>Cheetos</v>
          </cell>
          <cell r="D78">
            <v>8</v>
          </cell>
          <cell r="J78">
            <v>4</v>
          </cell>
        </row>
        <row r="79">
          <cell r="A79">
            <v>46146</v>
          </cell>
          <cell r="B79" t="str">
            <v>Amplang</v>
          </cell>
          <cell r="D79">
            <v>8</v>
          </cell>
          <cell r="J79">
            <v>0</v>
          </cell>
        </row>
        <row r="80">
          <cell r="A80">
            <v>46146</v>
          </cell>
          <cell r="B80" t="str">
            <v>Pisang Sale</v>
          </cell>
          <cell r="D80">
            <v>8</v>
          </cell>
          <cell r="J80">
            <v>1</v>
          </cell>
        </row>
        <row r="81">
          <cell r="A81">
            <v>46146</v>
          </cell>
          <cell r="B81" t="str">
            <v>Kacang Disco</v>
          </cell>
          <cell r="D81">
            <v>8</v>
          </cell>
          <cell r="J81">
            <v>0</v>
          </cell>
        </row>
        <row r="82">
          <cell r="A82">
            <v>46146</v>
          </cell>
          <cell r="B82" t="str">
            <v>Bawang Goreng</v>
          </cell>
          <cell r="D82">
            <v>9</v>
          </cell>
          <cell r="J82">
            <v>0</v>
          </cell>
        </row>
        <row r="83">
          <cell r="A83">
            <v>46146</v>
          </cell>
          <cell r="B83" t="str">
            <v>Keripik Tempe</v>
          </cell>
          <cell r="D83">
            <v>9</v>
          </cell>
          <cell r="J83">
            <v>6</v>
          </cell>
        </row>
        <row r="84">
          <cell r="A84">
            <v>46146</v>
          </cell>
          <cell r="B84" t="str">
            <v>Keripik Singkong</v>
          </cell>
          <cell r="D84">
            <v>9</v>
          </cell>
          <cell r="J84">
            <v>0</v>
          </cell>
        </row>
        <row r="85">
          <cell r="A85">
            <v>46146</v>
          </cell>
          <cell r="B85" t="str">
            <v>Kentang Mustofa Daun Jeruk</v>
          </cell>
          <cell r="D85">
            <v>9</v>
          </cell>
          <cell r="J85">
            <v>0</v>
          </cell>
        </row>
        <row r="86">
          <cell r="A86">
            <v>46146</v>
          </cell>
          <cell r="B86" t="str">
            <v>Komicin</v>
          </cell>
          <cell r="D86">
            <v>9</v>
          </cell>
          <cell r="J86">
            <v>0</v>
          </cell>
        </row>
        <row r="87">
          <cell r="A87">
            <v>46146</v>
          </cell>
          <cell r="B87" t="str">
            <v>DeSnack</v>
          </cell>
          <cell r="D87">
            <v>9</v>
          </cell>
          <cell r="J87">
            <v>2</v>
          </cell>
        </row>
        <row r="88">
          <cell r="A88">
            <v>46146</v>
          </cell>
          <cell r="B88" t="str">
            <v>Macaroni</v>
          </cell>
          <cell r="D88">
            <v>9</v>
          </cell>
          <cell r="J88">
            <v>5</v>
          </cell>
        </row>
        <row r="89">
          <cell r="A89">
            <v>46146</v>
          </cell>
          <cell r="B89" t="str">
            <v>Cimol Kering</v>
          </cell>
          <cell r="D89">
            <v>9</v>
          </cell>
          <cell r="J89">
            <v>2</v>
          </cell>
        </row>
        <row r="90">
          <cell r="A90">
            <v>46146</v>
          </cell>
          <cell r="B90" t="str">
            <v>Popcorn Ori</v>
          </cell>
          <cell r="D90">
            <v>9</v>
          </cell>
          <cell r="J90">
            <v>0</v>
          </cell>
        </row>
        <row r="91">
          <cell r="A91">
            <v>46146</v>
          </cell>
          <cell r="B91" t="str">
            <v>Popcorn Rasa</v>
          </cell>
          <cell r="D91">
            <v>9</v>
          </cell>
          <cell r="J91">
            <v>0</v>
          </cell>
        </row>
        <row r="92">
          <cell r="A92">
            <v>46146</v>
          </cell>
          <cell r="B92" t="str">
            <v>Pop Mie Mini</v>
          </cell>
          <cell r="D92">
            <v>9</v>
          </cell>
          <cell r="J92">
            <v>3</v>
          </cell>
        </row>
        <row r="93">
          <cell r="A93">
            <v>46146</v>
          </cell>
          <cell r="B93" t="str">
            <v>Mie Gemez</v>
          </cell>
          <cell r="D93">
            <v>9</v>
          </cell>
          <cell r="J93">
            <v>6</v>
          </cell>
        </row>
        <row r="94">
          <cell r="A94">
            <v>46146</v>
          </cell>
          <cell r="B94" t="str">
            <v>Cheetos</v>
          </cell>
          <cell r="D94">
            <v>9</v>
          </cell>
          <cell r="J94">
            <v>2</v>
          </cell>
        </row>
        <row r="95">
          <cell r="A95">
            <v>46146</v>
          </cell>
          <cell r="B95" t="str">
            <v>Amplang</v>
          </cell>
          <cell r="D95">
            <v>9</v>
          </cell>
          <cell r="J95">
            <v>3</v>
          </cell>
        </row>
        <row r="96">
          <cell r="A96">
            <v>46146</v>
          </cell>
          <cell r="B96" t="str">
            <v>Pisang Sale</v>
          </cell>
          <cell r="D96">
            <v>9</v>
          </cell>
          <cell r="J96">
            <v>2</v>
          </cell>
        </row>
        <row r="97">
          <cell r="A97">
            <v>46146</v>
          </cell>
          <cell r="B97" t="str">
            <v>Kacang Disco</v>
          </cell>
          <cell r="D97">
            <v>9</v>
          </cell>
          <cell r="J97">
            <v>1</v>
          </cell>
        </row>
        <row r="98">
          <cell r="A98">
            <v>46147</v>
          </cell>
          <cell r="B98" t="str">
            <v>Bawang Goreng</v>
          </cell>
          <cell r="D98">
            <v>3</v>
          </cell>
          <cell r="J98">
            <v>0</v>
          </cell>
        </row>
        <row r="99">
          <cell r="A99">
            <v>46147</v>
          </cell>
          <cell r="B99" t="str">
            <v>Keripik Tempe</v>
          </cell>
          <cell r="D99">
            <v>3</v>
          </cell>
          <cell r="J99">
            <v>3</v>
          </cell>
        </row>
        <row r="100">
          <cell r="A100">
            <v>46147</v>
          </cell>
          <cell r="B100" t="str">
            <v>Keripik Singkong</v>
          </cell>
          <cell r="D100">
            <v>3</v>
          </cell>
          <cell r="J100">
            <v>0</v>
          </cell>
        </row>
        <row r="101">
          <cell r="A101">
            <v>46147</v>
          </cell>
          <cell r="B101" t="str">
            <v>Kentang Mustofa Daun Jeruk</v>
          </cell>
          <cell r="D101">
            <v>3</v>
          </cell>
          <cell r="J101">
            <v>0</v>
          </cell>
        </row>
        <row r="102">
          <cell r="A102">
            <v>46147</v>
          </cell>
          <cell r="B102" t="str">
            <v>Komicin</v>
          </cell>
          <cell r="D102">
            <v>3</v>
          </cell>
          <cell r="J102">
            <v>0</v>
          </cell>
        </row>
        <row r="103">
          <cell r="A103">
            <v>46147</v>
          </cell>
          <cell r="B103" t="str">
            <v>DeSnack</v>
          </cell>
          <cell r="D103">
            <v>3</v>
          </cell>
          <cell r="J103">
            <v>2</v>
          </cell>
        </row>
        <row r="104">
          <cell r="A104">
            <v>46147</v>
          </cell>
          <cell r="B104" t="str">
            <v>Macaroni</v>
          </cell>
          <cell r="D104">
            <v>3</v>
          </cell>
          <cell r="J104">
            <v>2</v>
          </cell>
        </row>
        <row r="105">
          <cell r="A105">
            <v>46147</v>
          </cell>
          <cell r="B105" t="str">
            <v>Cimol Kering</v>
          </cell>
          <cell r="D105">
            <v>3</v>
          </cell>
          <cell r="J105">
            <v>0</v>
          </cell>
        </row>
        <row r="106">
          <cell r="A106">
            <v>46147</v>
          </cell>
          <cell r="B106" t="str">
            <v>Popcorn Ori</v>
          </cell>
          <cell r="D106">
            <v>3</v>
          </cell>
          <cell r="J106">
            <v>0</v>
          </cell>
        </row>
        <row r="107">
          <cell r="A107">
            <v>46147</v>
          </cell>
          <cell r="B107" t="str">
            <v>Popcorn Rasa</v>
          </cell>
          <cell r="D107">
            <v>3</v>
          </cell>
          <cell r="J107">
            <v>1</v>
          </cell>
        </row>
        <row r="108">
          <cell r="A108">
            <v>46147</v>
          </cell>
          <cell r="B108" t="str">
            <v>Pop Mie Mini</v>
          </cell>
          <cell r="D108">
            <v>3</v>
          </cell>
          <cell r="J108">
            <v>0</v>
          </cell>
        </row>
        <row r="109">
          <cell r="A109">
            <v>46147</v>
          </cell>
          <cell r="B109" t="str">
            <v>Mie Gemez</v>
          </cell>
          <cell r="D109">
            <v>3</v>
          </cell>
          <cell r="J109">
            <v>0</v>
          </cell>
        </row>
        <row r="110">
          <cell r="A110">
            <v>46147</v>
          </cell>
          <cell r="B110" t="str">
            <v>Cheetos</v>
          </cell>
          <cell r="D110">
            <v>3</v>
          </cell>
          <cell r="J110">
            <v>7</v>
          </cell>
        </row>
        <row r="111">
          <cell r="A111">
            <v>46147</v>
          </cell>
          <cell r="B111" t="str">
            <v>Amplang</v>
          </cell>
          <cell r="D111">
            <v>3</v>
          </cell>
          <cell r="J111">
            <v>0</v>
          </cell>
        </row>
        <row r="112">
          <cell r="A112">
            <v>46147</v>
          </cell>
          <cell r="B112" t="str">
            <v>Pisang Sale</v>
          </cell>
          <cell r="D112">
            <v>3</v>
          </cell>
          <cell r="J112">
            <v>0</v>
          </cell>
        </row>
        <row r="113">
          <cell r="A113">
            <v>46147</v>
          </cell>
          <cell r="B113" t="str">
            <v>Kacang Disco</v>
          </cell>
          <cell r="D113">
            <v>3</v>
          </cell>
          <cell r="J113">
            <v>0</v>
          </cell>
        </row>
        <row r="114">
          <cell r="A114">
            <v>46147</v>
          </cell>
          <cell r="B114" t="str">
            <v>Bawang Goreng</v>
          </cell>
          <cell r="D114">
            <v>8</v>
          </cell>
          <cell r="J114">
            <v>0</v>
          </cell>
        </row>
        <row r="115">
          <cell r="A115">
            <v>46147</v>
          </cell>
          <cell r="B115" t="str">
            <v>Keripik Tempe</v>
          </cell>
          <cell r="D115">
            <v>8</v>
          </cell>
          <cell r="J115">
            <v>1</v>
          </cell>
        </row>
        <row r="116">
          <cell r="A116">
            <v>46147</v>
          </cell>
          <cell r="B116" t="str">
            <v>Keripik Singkong</v>
          </cell>
          <cell r="D116">
            <v>8</v>
          </cell>
          <cell r="J116">
            <v>0</v>
          </cell>
        </row>
        <row r="117">
          <cell r="A117">
            <v>46147</v>
          </cell>
          <cell r="B117" t="str">
            <v>Kentang Mustofa Daun Jeruk</v>
          </cell>
          <cell r="D117">
            <v>8</v>
          </cell>
          <cell r="J117">
            <v>0</v>
          </cell>
        </row>
        <row r="118">
          <cell r="A118">
            <v>46147</v>
          </cell>
          <cell r="B118" t="str">
            <v>Komicin</v>
          </cell>
          <cell r="D118">
            <v>8</v>
          </cell>
          <cell r="J118">
            <v>0</v>
          </cell>
        </row>
        <row r="119">
          <cell r="A119">
            <v>46147</v>
          </cell>
          <cell r="B119" t="str">
            <v>DeSnack</v>
          </cell>
          <cell r="D119">
            <v>8</v>
          </cell>
          <cell r="J119">
            <v>-3</v>
          </cell>
        </row>
        <row r="120">
          <cell r="A120">
            <v>46147</v>
          </cell>
          <cell r="B120" t="str">
            <v>Macaroni</v>
          </cell>
          <cell r="D120">
            <v>8</v>
          </cell>
          <cell r="J120">
            <v>1</v>
          </cell>
        </row>
        <row r="121">
          <cell r="A121">
            <v>46147</v>
          </cell>
          <cell r="B121" t="str">
            <v>Cimol Kering</v>
          </cell>
          <cell r="D121">
            <v>8</v>
          </cell>
          <cell r="J121">
            <v>1</v>
          </cell>
        </row>
        <row r="122">
          <cell r="A122">
            <v>46147</v>
          </cell>
          <cell r="B122" t="str">
            <v>Popcorn Ori</v>
          </cell>
          <cell r="D122">
            <v>8</v>
          </cell>
          <cell r="J122">
            <v>0</v>
          </cell>
        </row>
        <row r="123">
          <cell r="A123">
            <v>46147</v>
          </cell>
          <cell r="B123" t="str">
            <v>Popcorn Rasa</v>
          </cell>
          <cell r="D123">
            <v>8</v>
          </cell>
          <cell r="J123">
            <v>0</v>
          </cell>
        </row>
        <row r="124">
          <cell r="A124">
            <v>46147</v>
          </cell>
          <cell r="B124" t="str">
            <v>Pop Mie Mini</v>
          </cell>
          <cell r="D124">
            <v>8</v>
          </cell>
          <cell r="J124">
            <v>0</v>
          </cell>
        </row>
        <row r="125">
          <cell r="A125">
            <v>46147</v>
          </cell>
          <cell r="B125" t="str">
            <v>Mie Gemez</v>
          </cell>
          <cell r="D125">
            <v>8</v>
          </cell>
          <cell r="J125">
            <v>2</v>
          </cell>
        </row>
        <row r="126">
          <cell r="A126">
            <v>46147</v>
          </cell>
          <cell r="B126" t="str">
            <v>Cheetos</v>
          </cell>
          <cell r="D126">
            <v>8</v>
          </cell>
          <cell r="J126">
            <v>4</v>
          </cell>
        </row>
        <row r="127">
          <cell r="A127">
            <v>46147</v>
          </cell>
          <cell r="B127" t="str">
            <v>Amplang</v>
          </cell>
          <cell r="D127">
            <v>8</v>
          </cell>
          <cell r="J127">
            <v>0</v>
          </cell>
        </row>
        <row r="128">
          <cell r="A128">
            <v>46147</v>
          </cell>
          <cell r="B128" t="str">
            <v>Pisang Sale</v>
          </cell>
          <cell r="D128">
            <v>8</v>
          </cell>
          <cell r="J128">
            <v>0</v>
          </cell>
        </row>
        <row r="129">
          <cell r="A129">
            <v>46147</v>
          </cell>
          <cell r="B129" t="str">
            <v>Kacang Disco</v>
          </cell>
          <cell r="D129">
            <v>8</v>
          </cell>
          <cell r="J129">
            <v>0</v>
          </cell>
        </row>
        <row r="130">
          <cell r="A130">
            <v>46147</v>
          </cell>
          <cell r="B130" t="str">
            <v>Bawang Goreng</v>
          </cell>
          <cell r="D130">
            <v>9</v>
          </cell>
          <cell r="J130">
            <v>0</v>
          </cell>
        </row>
        <row r="131">
          <cell r="A131">
            <v>46147</v>
          </cell>
          <cell r="B131" t="str">
            <v>Keripik Tempe</v>
          </cell>
          <cell r="D131">
            <v>9</v>
          </cell>
          <cell r="J131">
            <v>3</v>
          </cell>
        </row>
        <row r="132">
          <cell r="A132">
            <v>46147</v>
          </cell>
          <cell r="B132" t="str">
            <v>Keripik Singkong</v>
          </cell>
          <cell r="D132">
            <v>9</v>
          </cell>
          <cell r="J132">
            <v>0</v>
          </cell>
        </row>
        <row r="133">
          <cell r="A133">
            <v>46147</v>
          </cell>
          <cell r="B133" t="str">
            <v>Kentang Mustofa Daun Jeruk</v>
          </cell>
          <cell r="D133">
            <v>9</v>
          </cell>
          <cell r="J133">
            <v>1</v>
          </cell>
        </row>
        <row r="134">
          <cell r="A134">
            <v>46147</v>
          </cell>
          <cell r="B134" t="str">
            <v>Komicin</v>
          </cell>
          <cell r="D134">
            <v>9</v>
          </cell>
          <cell r="J134">
            <v>0</v>
          </cell>
        </row>
        <row r="135">
          <cell r="A135">
            <v>46147</v>
          </cell>
          <cell r="B135" t="str">
            <v>DeSnack</v>
          </cell>
          <cell r="D135">
            <v>9</v>
          </cell>
          <cell r="J135">
            <v>2</v>
          </cell>
        </row>
        <row r="136">
          <cell r="A136">
            <v>46147</v>
          </cell>
          <cell r="B136" t="str">
            <v>Macaroni</v>
          </cell>
          <cell r="D136">
            <v>9</v>
          </cell>
          <cell r="J136">
            <v>0</v>
          </cell>
        </row>
        <row r="137">
          <cell r="A137">
            <v>46147</v>
          </cell>
          <cell r="B137" t="str">
            <v>Cimol Kering</v>
          </cell>
          <cell r="D137">
            <v>9</v>
          </cell>
          <cell r="J137">
            <v>0</v>
          </cell>
        </row>
        <row r="138">
          <cell r="A138">
            <v>46147</v>
          </cell>
          <cell r="B138" t="str">
            <v>Popcorn Ori</v>
          </cell>
          <cell r="D138">
            <v>9</v>
          </cell>
          <cell r="J138">
            <v>0</v>
          </cell>
        </row>
        <row r="139">
          <cell r="A139">
            <v>46147</v>
          </cell>
          <cell r="B139" t="str">
            <v>Popcorn Rasa</v>
          </cell>
          <cell r="D139">
            <v>9</v>
          </cell>
          <cell r="J139">
            <v>3</v>
          </cell>
        </row>
        <row r="140">
          <cell r="A140">
            <v>46147</v>
          </cell>
          <cell r="B140" t="str">
            <v>Pop Mie Mini</v>
          </cell>
          <cell r="D140">
            <v>9</v>
          </cell>
          <cell r="J140">
            <v>0</v>
          </cell>
        </row>
        <row r="141">
          <cell r="A141">
            <v>46147</v>
          </cell>
          <cell r="B141" t="str">
            <v>Mie Gemez</v>
          </cell>
          <cell r="D141">
            <v>9</v>
          </cell>
          <cell r="J141">
            <v>10</v>
          </cell>
        </row>
        <row r="142">
          <cell r="A142">
            <v>46147</v>
          </cell>
          <cell r="B142" t="str">
            <v>Cheetos</v>
          </cell>
          <cell r="D142">
            <v>9</v>
          </cell>
          <cell r="J142">
            <v>3</v>
          </cell>
        </row>
        <row r="143">
          <cell r="A143">
            <v>46147</v>
          </cell>
          <cell r="B143" t="str">
            <v>Amplang</v>
          </cell>
          <cell r="D143">
            <v>9</v>
          </cell>
          <cell r="J143">
            <v>-3</v>
          </cell>
        </row>
        <row r="144">
          <cell r="A144">
            <v>46147</v>
          </cell>
          <cell r="B144" t="str">
            <v>Pisang Sale</v>
          </cell>
          <cell r="D144">
            <v>9</v>
          </cell>
          <cell r="J144">
            <v>0</v>
          </cell>
        </row>
        <row r="145">
          <cell r="A145">
            <v>46147</v>
          </cell>
          <cell r="B145" t="str">
            <v>Kacang Disco</v>
          </cell>
          <cell r="D145">
            <v>9</v>
          </cell>
          <cell r="J145">
            <v>0</v>
          </cell>
        </row>
        <row r="146">
          <cell r="A146">
            <v>46148</v>
          </cell>
          <cell r="B146" t="str">
            <v>Bawang Goreng</v>
          </cell>
          <cell r="D146">
            <v>3</v>
          </cell>
          <cell r="J146">
            <v>0</v>
          </cell>
        </row>
        <row r="147">
          <cell r="A147">
            <v>46148</v>
          </cell>
          <cell r="B147" t="str">
            <v>Keripik Tempe</v>
          </cell>
          <cell r="D147">
            <v>3</v>
          </cell>
          <cell r="J147">
            <v>5</v>
          </cell>
        </row>
        <row r="148">
          <cell r="A148">
            <v>46148</v>
          </cell>
          <cell r="B148" t="str">
            <v>Keripik Singkong</v>
          </cell>
          <cell r="D148">
            <v>3</v>
          </cell>
          <cell r="J148">
            <v>0</v>
          </cell>
        </row>
        <row r="149">
          <cell r="A149">
            <v>46148</v>
          </cell>
          <cell r="B149" t="str">
            <v>Kentang Mustofa Daun Jeruk</v>
          </cell>
          <cell r="D149">
            <v>3</v>
          </cell>
          <cell r="J149">
            <v>0</v>
          </cell>
        </row>
        <row r="150">
          <cell r="A150">
            <v>46148</v>
          </cell>
          <cell r="B150" t="str">
            <v>Komicin</v>
          </cell>
          <cell r="D150">
            <v>3</v>
          </cell>
          <cell r="J150">
            <v>0</v>
          </cell>
        </row>
        <row r="151">
          <cell r="A151">
            <v>46148</v>
          </cell>
          <cell r="B151" t="str">
            <v>DeSnack</v>
          </cell>
          <cell r="D151">
            <v>3</v>
          </cell>
          <cell r="J151">
            <v>2</v>
          </cell>
        </row>
        <row r="152">
          <cell r="A152">
            <v>46148</v>
          </cell>
          <cell r="B152" t="str">
            <v>Macaroni</v>
          </cell>
          <cell r="D152">
            <v>3</v>
          </cell>
          <cell r="J152">
            <v>3</v>
          </cell>
        </row>
        <row r="153">
          <cell r="A153">
            <v>46148</v>
          </cell>
          <cell r="B153" t="str">
            <v>Cimol Kering</v>
          </cell>
          <cell r="D153">
            <v>3</v>
          </cell>
          <cell r="J153">
            <v>1</v>
          </cell>
        </row>
        <row r="154">
          <cell r="A154">
            <v>46148</v>
          </cell>
          <cell r="B154" t="str">
            <v>Popcorn Ori</v>
          </cell>
          <cell r="D154">
            <v>3</v>
          </cell>
          <cell r="J154">
            <v>2</v>
          </cell>
        </row>
        <row r="155">
          <cell r="A155">
            <v>46148</v>
          </cell>
          <cell r="B155" t="str">
            <v>Popcorn Rasa</v>
          </cell>
          <cell r="D155">
            <v>3</v>
          </cell>
          <cell r="J155">
            <v>2</v>
          </cell>
        </row>
        <row r="156">
          <cell r="A156">
            <v>46148</v>
          </cell>
          <cell r="B156" t="str">
            <v>Pop Mie Mini</v>
          </cell>
          <cell r="D156">
            <v>3</v>
          </cell>
          <cell r="J156">
            <v>0</v>
          </cell>
        </row>
        <row r="157">
          <cell r="A157">
            <v>46148</v>
          </cell>
          <cell r="B157" t="str">
            <v>Mie Gemez</v>
          </cell>
          <cell r="D157">
            <v>3</v>
          </cell>
          <cell r="J157">
            <v>4</v>
          </cell>
        </row>
        <row r="158">
          <cell r="A158">
            <v>46148</v>
          </cell>
          <cell r="B158" t="str">
            <v>Cheetos</v>
          </cell>
          <cell r="D158">
            <v>3</v>
          </cell>
          <cell r="J158">
            <v>2</v>
          </cell>
        </row>
        <row r="159">
          <cell r="A159">
            <v>46148</v>
          </cell>
          <cell r="B159" t="str">
            <v>Amplang</v>
          </cell>
          <cell r="D159">
            <v>3</v>
          </cell>
          <cell r="J159">
            <v>13</v>
          </cell>
        </row>
        <row r="160">
          <cell r="A160">
            <v>46148</v>
          </cell>
          <cell r="B160" t="str">
            <v>Pisang Sale</v>
          </cell>
          <cell r="D160">
            <v>3</v>
          </cell>
          <cell r="J160">
            <v>2</v>
          </cell>
        </row>
        <row r="161">
          <cell r="A161">
            <v>46148</v>
          </cell>
          <cell r="B161" t="str">
            <v>Kacang Disco</v>
          </cell>
          <cell r="D161">
            <v>3</v>
          </cell>
          <cell r="J161">
            <v>0</v>
          </cell>
        </row>
        <row r="162">
          <cell r="A162">
            <v>46148</v>
          </cell>
          <cell r="B162" t="str">
            <v>Sari gandum</v>
          </cell>
          <cell r="D162">
            <v>3</v>
          </cell>
          <cell r="J162">
            <v>4</v>
          </cell>
        </row>
        <row r="163">
          <cell r="A163">
            <v>46148</v>
          </cell>
          <cell r="B163" t="str">
            <v>Yogurt</v>
          </cell>
          <cell r="D163">
            <v>3</v>
          </cell>
          <cell r="J163">
            <v>5</v>
          </cell>
        </row>
        <row r="164">
          <cell r="A164">
            <v>46148</v>
          </cell>
          <cell r="B164" t="str">
            <v>Lemonilo chimi</v>
          </cell>
          <cell r="D164">
            <v>3</v>
          </cell>
          <cell r="J164">
            <v>0</v>
          </cell>
        </row>
        <row r="165">
          <cell r="A165">
            <v>46148</v>
          </cell>
          <cell r="B165" t="str">
            <v>Bawang Goreng</v>
          </cell>
          <cell r="D165">
            <v>8</v>
          </cell>
          <cell r="J165">
            <v>0</v>
          </cell>
        </row>
        <row r="166">
          <cell r="A166">
            <v>46148</v>
          </cell>
          <cell r="B166" t="str">
            <v>Keripik Tempe</v>
          </cell>
          <cell r="D166">
            <v>8</v>
          </cell>
          <cell r="J166">
            <v>5</v>
          </cell>
        </row>
        <row r="167">
          <cell r="A167">
            <v>46148</v>
          </cell>
          <cell r="B167" t="str">
            <v>Keripik Singkong</v>
          </cell>
          <cell r="D167">
            <v>8</v>
          </cell>
          <cell r="J167">
            <v>0</v>
          </cell>
        </row>
        <row r="168">
          <cell r="A168">
            <v>46148</v>
          </cell>
          <cell r="B168" t="str">
            <v>Kentang Mustofa Daun Jeruk</v>
          </cell>
          <cell r="D168">
            <v>8</v>
          </cell>
          <cell r="J168">
            <v>0</v>
          </cell>
        </row>
        <row r="169">
          <cell r="A169">
            <v>46148</v>
          </cell>
          <cell r="B169" t="str">
            <v>Komicin</v>
          </cell>
          <cell r="D169">
            <v>8</v>
          </cell>
          <cell r="J169">
            <v>0</v>
          </cell>
        </row>
        <row r="170">
          <cell r="A170">
            <v>46148</v>
          </cell>
          <cell r="B170" t="str">
            <v>DeSnack</v>
          </cell>
          <cell r="D170">
            <v>8</v>
          </cell>
          <cell r="J170">
            <v>2</v>
          </cell>
        </row>
        <row r="171">
          <cell r="A171">
            <v>46148</v>
          </cell>
          <cell r="B171" t="str">
            <v>Macaroni</v>
          </cell>
          <cell r="D171">
            <v>8</v>
          </cell>
          <cell r="J171">
            <v>0</v>
          </cell>
        </row>
        <row r="172">
          <cell r="A172">
            <v>46148</v>
          </cell>
          <cell r="B172" t="str">
            <v>Cimol Kering</v>
          </cell>
          <cell r="D172">
            <v>8</v>
          </cell>
          <cell r="J172">
            <v>1</v>
          </cell>
        </row>
        <row r="173">
          <cell r="A173">
            <v>46148</v>
          </cell>
          <cell r="B173" t="str">
            <v>Popcorn Ori</v>
          </cell>
          <cell r="D173">
            <v>8</v>
          </cell>
          <cell r="J173">
            <v>1</v>
          </cell>
        </row>
        <row r="174">
          <cell r="A174">
            <v>46148</v>
          </cell>
          <cell r="B174" t="str">
            <v>Popcorn Rasa</v>
          </cell>
          <cell r="D174">
            <v>8</v>
          </cell>
          <cell r="J174">
            <v>3</v>
          </cell>
        </row>
        <row r="175">
          <cell r="A175">
            <v>46148</v>
          </cell>
          <cell r="B175" t="str">
            <v>Pop Mie Mini</v>
          </cell>
          <cell r="D175">
            <v>8</v>
          </cell>
          <cell r="J175">
            <v>6</v>
          </cell>
        </row>
        <row r="176">
          <cell r="A176">
            <v>46148</v>
          </cell>
          <cell r="B176" t="str">
            <v>Mie Gemez</v>
          </cell>
          <cell r="D176">
            <v>8</v>
          </cell>
          <cell r="J176">
            <v>7</v>
          </cell>
        </row>
        <row r="177">
          <cell r="A177">
            <v>46148</v>
          </cell>
          <cell r="B177" t="str">
            <v>Cheetos</v>
          </cell>
          <cell r="D177">
            <v>8</v>
          </cell>
          <cell r="J177">
            <v>-2</v>
          </cell>
        </row>
        <row r="178">
          <cell r="A178">
            <v>46148</v>
          </cell>
          <cell r="B178" t="str">
            <v>Amplang</v>
          </cell>
          <cell r="D178">
            <v>8</v>
          </cell>
          <cell r="J178">
            <v>4</v>
          </cell>
        </row>
        <row r="179">
          <cell r="A179">
            <v>46148</v>
          </cell>
          <cell r="B179" t="str">
            <v>Pisang Sale</v>
          </cell>
          <cell r="D179">
            <v>8</v>
          </cell>
          <cell r="J179">
            <v>0</v>
          </cell>
        </row>
        <row r="180">
          <cell r="A180">
            <v>46148</v>
          </cell>
          <cell r="B180" t="str">
            <v>Kacang Disco</v>
          </cell>
          <cell r="D180">
            <v>8</v>
          </cell>
          <cell r="J180">
            <v>0</v>
          </cell>
        </row>
        <row r="181">
          <cell r="A181">
            <v>46148</v>
          </cell>
          <cell r="B181" t="str">
            <v>Sari gandum</v>
          </cell>
          <cell r="D181">
            <v>8</v>
          </cell>
          <cell r="J181">
            <v>1</v>
          </cell>
        </row>
        <row r="182">
          <cell r="A182">
            <v>46148</v>
          </cell>
          <cell r="B182" t="str">
            <v>Yogurt</v>
          </cell>
          <cell r="D182">
            <v>8</v>
          </cell>
          <cell r="J182">
            <v>5</v>
          </cell>
        </row>
        <row r="183">
          <cell r="A183">
            <v>46148</v>
          </cell>
          <cell r="B183" t="str">
            <v>Lemonilo chimi</v>
          </cell>
          <cell r="D183">
            <v>8</v>
          </cell>
          <cell r="J183">
            <v>0</v>
          </cell>
        </row>
        <row r="184">
          <cell r="A184">
            <v>46148</v>
          </cell>
          <cell r="B184" t="str">
            <v>Bawang Goreng</v>
          </cell>
          <cell r="D184">
            <v>9</v>
          </cell>
          <cell r="J184">
            <v>0</v>
          </cell>
        </row>
        <row r="185">
          <cell r="A185">
            <v>46148</v>
          </cell>
          <cell r="B185" t="str">
            <v>Keripik Tempe</v>
          </cell>
          <cell r="D185">
            <v>9</v>
          </cell>
          <cell r="J185">
            <v>5</v>
          </cell>
        </row>
        <row r="186">
          <cell r="A186">
            <v>46148</v>
          </cell>
          <cell r="B186" t="str">
            <v>Keripik Singkong</v>
          </cell>
          <cell r="D186">
            <v>9</v>
          </cell>
          <cell r="J186">
            <v>2</v>
          </cell>
        </row>
        <row r="187">
          <cell r="A187">
            <v>46148</v>
          </cell>
          <cell r="B187" t="str">
            <v>Kentang Mustofa Daun Jeruk</v>
          </cell>
          <cell r="D187">
            <v>9</v>
          </cell>
          <cell r="J187">
            <v>0</v>
          </cell>
        </row>
        <row r="188">
          <cell r="A188">
            <v>46148</v>
          </cell>
          <cell r="B188" t="str">
            <v>Komicin</v>
          </cell>
          <cell r="D188">
            <v>9</v>
          </cell>
          <cell r="J188">
            <v>0</v>
          </cell>
        </row>
        <row r="189">
          <cell r="A189">
            <v>46148</v>
          </cell>
          <cell r="B189" t="str">
            <v>DeSnack</v>
          </cell>
          <cell r="D189">
            <v>9</v>
          </cell>
          <cell r="J189">
            <v>4</v>
          </cell>
        </row>
        <row r="190">
          <cell r="A190">
            <v>46148</v>
          </cell>
          <cell r="B190" t="str">
            <v>Macaroni</v>
          </cell>
          <cell r="D190">
            <v>9</v>
          </cell>
          <cell r="J190">
            <v>1</v>
          </cell>
        </row>
        <row r="191">
          <cell r="A191">
            <v>46148</v>
          </cell>
          <cell r="B191" t="str">
            <v>Cimol Kering</v>
          </cell>
          <cell r="D191">
            <v>9</v>
          </cell>
          <cell r="J191">
            <v>0</v>
          </cell>
        </row>
        <row r="192">
          <cell r="A192">
            <v>46148</v>
          </cell>
          <cell r="B192" t="str">
            <v>Popcorn Ori</v>
          </cell>
          <cell r="D192">
            <v>9</v>
          </cell>
          <cell r="J192">
            <v>1</v>
          </cell>
        </row>
        <row r="193">
          <cell r="A193">
            <v>46148</v>
          </cell>
          <cell r="B193" t="str">
            <v>Popcorn Rasa</v>
          </cell>
          <cell r="D193">
            <v>9</v>
          </cell>
          <cell r="J193">
            <v>0</v>
          </cell>
        </row>
        <row r="194">
          <cell r="A194">
            <v>46148</v>
          </cell>
          <cell r="B194" t="str">
            <v>Pop Mie Mini</v>
          </cell>
          <cell r="D194">
            <v>9</v>
          </cell>
          <cell r="J194">
            <v>8</v>
          </cell>
        </row>
        <row r="195">
          <cell r="A195">
            <v>46148</v>
          </cell>
          <cell r="B195" t="str">
            <v>Mie Gemez</v>
          </cell>
          <cell r="D195">
            <v>9</v>
          </cell>
          <cell r="J195">
            <v>0</v>
          </cell>
        </row>
        <row r="196">
          <cell r="A196">
            <v>46148</v>
          </cell>
          <cell r="B196" t="str">
            <v>Cheetos</v>
          </cell>
          <cell r="D196">
            <v>9</v>
          </cell>
          <cell r="J196">
            <v>6</v>
          </cell>
        </row>
        <row r="197">
          <cell r="A197">
            <v>46148</v>
          </cell>
          <cell r="B197" t="str">
            <v>Amplang</v>
          </cell>
          <cell r="D197">
            <v>9</v>
          </cell>
          <cell r="J197">
            <v>5</v>
          </cell>
        </row>
        <row r="198">
          <cell r="A198">
            <v>46148</v>
          </cell>
          <cell r="B198" t="str">
            <v>Pisang Sale</v>
          </cell>
          <cell r="D198">
            <v>9</v>
          </cell>
          <cell r="J198">
            <v>0</v>
          </cell>
        </row>
        <row r="199">
          <cell r="A199">
            <v>46148</v>
          </cell>
          <cell r="B199" t="str">
            <v>Kacang Disco</v>
          </cell>
          <cell r="D199">
            <v>9</v>
          </cell>
          <cell r="J199">
            <v>3</v>
          </cell>
        </row>
        <row r="200">
          <cell r="A200">
            <v>46148</v>
          </cell>
          <cell r="B200" t="str">
            <v>Sari gandum</v>
          </cell>
          <cell r="D200">
            <v>9</v>
          </cell>
          <cell r="J200">
            <v>3</v>
          </cell>
        </row>
        <row r="201">
          <cell r="A201">
            <v>46148</v>
          </cell>
          <cell r="B201" t="str">
            <v>Yogurt</v>
          </cell>
          <cell r="D201">
            <v>9</v>
          </cell>
          <cell r="J201">
            <v>5</v>
          </cell>
        </row>
        <row r="202">
          <cell r="A202">
            <v>46148</v>
          </cell>
          <cell r="B202" t="str">
            <v>Lemonilo chimi</v>
          </cell>
          <cell r="D202">
            <v>9</v>
          </cell>
          <cell r="J202">
            <v>9</v>
          </cell>
        </row>
        <row r="203">
          <cell r="A203">
            <v>46149</v>
          </cell>
          <cell r="B203" t="str">
            <v>Bawang Goreng</v>
          </cell>
          <cell r="D203">
            <v>3</v>
          </cell>
          <cell r="J203">
            <v>3</v>
          </cell>
        </row>
        <row r="204">
          <cell r="A204">
            <v>46149</v>
          </cell>
          <cell r="B204" t="str">
            <v>Keripik Tempe</v>
          </cell>
          <cell r="D204">
            <v>3</v>
          </cell>
          <cell r="J204">
            <v>0</v>
          </cell>
        </row>
        <row r="205">
          <cell r="A205">
            <v>46149</v>
          </cell>
          <cell r="B205" t="str">
            <v>Keripik Singkong</v>
          </cell>
          <cell r="D205">
            <v>3</v>
          </cell>
          <cell r="J205">
            <v>0</v>
          </cell>
        </row>
        <row r="206">
          <cell r="A206">
            <v>46149</v>
          </cell>
          <cell r="B206" t="str">
            <v>Kentang Mustofa Daun Jeruk</v>
          </cell>
          <cell r="D206">
            <v>3</v>
          </cell>
          <cell r="J206">
            <v>0</v>
          </cell>
        </row>
        <row r="207">
          <cell r="A207">
            <v>46149</v>
          </cell>
          <cell r="B207" t="str">
            <v>Komicin</v>
          </cell>
          <cell r="D207">
            <v>3</v>
          </cell>
          <cell r="J207">
            <v>0</v>
          </cell>
        </row>
        <row r="208">
          <cell r="A208">
            <v>46149</v>
          </cell>
          <cell r="B208" t="str">
            <v>DeSnack</v>
          </cell>
          <cell r="D208">
            <v>3</v>
          </cell>
          <cell r="J208">
            <v>5</v>
          </cell>
        </row>
        <row r="209">
          <cell r="A209">
            <v>46149</v>
          </cell>
          <cell r="B209" t="str">
            <v>Macaroni</v>
          </cell>
          <cell r="D209">
            <v>3</v>
          </cell>
          <cell r="J209">
            <v>0</v>
          </cell>
        </row>
        <row r="210">
          <cell r="A210">
            <v>46149</v>
          </cell>
          <cell r="B210" t="str">
            <v>Cimol Kering</v>
          </cell>
          <cell r="D210">
            <v>3</v>
          </cell>
          <cell r="J210">
            <v>0</v>
          </cell>
        </row>
        <row r="211">
          <cell r="A211">
            <v>46149</v>
          </cell>
          <cell r="B211" t="str">
            <v>Popcorn Ori</v>
          </cell>
          <cell r="D211">
            <v>3</v>
          </cell>
          <cell r="J211">
            <v>0</v>
          </cell>
        </row>
        <row r="212">
          <cell r="A212">
            <v>46149</v>
          </cell>
          <cell r="B212" t="str">
            <v>Popcorn Rasa</v>
          </cell>
          <cell r="D212">
            <v>3</v>
          </cell>
          <cell r="J212">
            <v>1</v>
          </cell>
        </row>
        <row r="213">
          <cell r="A213">
            <v>46149</v>
          </cell>
          <cell r="B213" t="str">
            <v>Pop Mie Mini</v>
          </cell>
          <cell r="D213">
            <v>3</v>
          </cell>
          <cell r="J213">
            <v>0</v>
          </cell>
        </row>
        <row r="214">
          <cell r="A214">
            <v>46149</v>
          </cell>
          <cell r="B214" t="str">
            <v>Mie Gemez</v>
          </cell>
          <cell r="D214">
            <v>3</v>
          </cell>
          <cell r="J214">
            <v>6</v>
          </cell>
        </row>
        <row r="215">
          <cell r="A215">
            <v>46149</v>
          </cell>
          <cell r="B215" t="str">
            <v>Cheetos</v>
          </cell>
          <cell r="D215">
            <v>3</v>
          </cell>
          <cell r="J215">
            <v>0</v>
          </cell>
        </row>
        <row r="216">
          <cell r="A216">
            <v>46149</v>
          </cell>
          <cell r="B216" t="str">
            <v>Amplang</v>
          </cell>
          <cell r="D216">
            <v>3</v>
          </cell>
          <cell r="J216">
            <v>1</v>
          </cell>
        </row>
        <row r="217">
          <cell r="A217">
            <v>46149</v>
          </cell>
          <cell r="B217" t="str">
            <v>Pisang Sale</v>
          </cell>
          <cell r="D217">
            <v>3</v>
          </cell>
          <cell r="J217">
            <v>0</v>
          </cell>
        </row>
        <row r="218">
          <cell r="A218">
            <v>46149</v>
          </cell>
          <cell r="B218" t="str">
            <v>Kacang Disco</v>
          </cell>
          <cell r="D218">
            <v>3</v>
          </cell>
          <cell r="J218">
            <v>0</v>
          </cell>
        </row>
        <row r="219">
          <cell r="A219">
            <v>46149</v>
          </cell>
          <cell r="B219" t="str">
            <v>Sari gandum</v>
          </cell>
          <cell r="D219">
            <v>3</v>
          </cell>
          <cell r="J219">
            <v>1</v>
          </cell>
        </row>
        <row r="220">
          <cell r="A220">
            <v>46149</v>
          </cell>
          <cell r="B220" t="str">
            <v>Yogurt</v>
          </cell>
          <cell r="D220">
            <v>3</v>
          </cell>
          <cell r="J220">
            <v>0</v>
          </cell>
        </row>
        <row r="221">
          <cell r="A221">
            <v>46149</v>
          </cell>
          <cell r="B221" t="str">
            <v>Lemonilo chimi</v>
          </cell>
          <cell r="D221">
            <v>3</v>
          </cell>
          <cell r="J221">
            <v>3</v>
          </cell>
        </row>
        <row r="222">
          <cell r="A222">
            <v>46149</v>
          </cell>
          <cell r="B222" t="str">
            <v>Bawang Goreng</v>
          </cell>
          <cell r="D222">
            <v>8</v>
          </cell>
          <cell r="J222">
            <v>1</v>
          </cell>
        </row>
        <row r="223">
          <cell r="A223">
            <v>46149</v>
          </cell>
          <cell r="B223" t="str">
            <v>Keripik Tempe</v>
          </cell>
          <cell r="D223">
            <v>8</v>
          </cell>
          <cell r="J223">
            <v>0</v>
          </cell>
        </row>
        <row r="224">
          <cell r="A224">
            <v>46149</v>
          </cell>
          <cell r="B224" t="str">
            <v>Keripik Singkong</v>
          </cell>
          <cell r="D224">
            <v>8</v>
          </cell>
          <cell r="J224">
            <v>0</v>
          </cell>
        </row>
        <row r="225">
          <cell r="A225">
            <v>46149</v>
          </cell>
          <cell r="B225" t="str">
            <v>Kentang Mustofa Daun Jeruk</v>
          </cell>
          <cell r="D225">
            <v>8</v>
          </cell>
          <cell r="J225">
            <v>0</v>
          </cell>
        </row>
        <row r="226">
          <cell r="A226">
            <v>46149</v>
          </cell>
          <cell r="B226" t="str">
            <v>Komicin</v>
          </cell>
          <cell r="D226">
            <v>8</v>
          </cell>
          <cell r="J226">
            <v>0</v>
          </cell>
        </row>
        <row r="227">
          <cell r="A227">
            <v>46149</v>
          </cell>
          <cell r="B227" t="str">
            <v>DeSnack</v>
          </cell>
          <cell r="D227">
            <v>8</v>
          </cell>
          <cell r="J227">
            <v>1</v>
          </cell>
        </row>
        <row r="228">
          <cell r="A228">
            <v>46149</v>
          </cell>
          <cell r="B228" t="str">
            <v>Macaroni</v>
          </cell>
          <cell r="D228">
            <v>8</v>
          </cell>
          <cell r="J228">
            <v>0</v>
          </cell>
        </row>
        <row r="229">
          <cell r="A229">
            <v>46149</v>
          </cell>
          <cell r="B229" t="str">
            <v>Cimol Kering</v>
          </cell>
          <cell r="D229">
            <v>8</v>
          </cell>
          <cell r="J229">
            <v>0</v>
          </cell>
        </row>
        <row r="230">
          <cell r="A230">
            <v>46149</v>
          </cell>
          <cell r="B230" t="str">
            <v>Popcorn Ori</v>
          </cell>
          <cell r="D230">
            <v>8</v>
          </cell>
          <cell r="J230">
            <v>0</v>
          </cell>
        </row>
        <row r="231">
          <cell r="A231">
            <v>46149</v>
          </cell>
          <cell r="B231" t="str">
            <v>Popcorn Rasa</v>
          </cell>
          <cell r="D231">
            <v>8</v>
          </cell>
          <cell r="J231">
            <v>2</v>
          </cell>
        </row>
        <row r="232">
          <cell r="A232">
            <v>46149</v>
          </cell>
          <cell r="B232" t="str">
            <v>Pop Mie Mini</v>
          </cell>
          <cell r="D232">
            <v>8</v>
          </cell>
          <cell r="J232">
            <v>0</v>
          </cell>
        </row>
        <row r="233">
          <cell r="A233">
            <v>46149</v>
          </cell>
          <cell r="B233" t="str">
            <v>Mie Gemez</v>
          </cell>
          <cell r="D233">
            <v>8</v>
          </cell>
          <cell r="J233">
            <v>1</v>
          </cell>
        </row>
        <row r="234">
          <cell r="A234">
            <v>46149</v>
          </cell>
          <cell r="B234" t="str">
            <v>Cheetos</v>
          </cell>
          <cell r="D234">
            <v>8</v>
          </cell>
          <cell r="J234">
            <v>4</v>
          </cell>
        </row>
        <row r="235">
          <cell r="A235">
            <v>46149</v>
          </cell>
          <cell r="B235" t="str">
            <v>Amplang</v>
          </cell>
          <cell r="D235">
            <v>8</v>
          </cell>
          <cell r="J235">
            <v>3</v>
          </cell>
        </row>
        <row r="236">
          <cell r="A236">
            <v>46149</v>
          </cell>
          <cell r="B236" t="str">
            <v>Pisang Sale</v>
          </cell>
          <cell r="D236">
            <v>8</v>
          </cell>
          <cell r="J236">
            <v>0</v>
          </cell>
        </row>
        <row r="237">
          <cell r="A237">
            <v>46149</v>
          </cell>
          <cell r="B237" t="str">
            <v>Kacang Disco</v>
          </cell>
          <cell r="D237">
            <v>8</v>
          </cell>
          <cell r="J237">
            <v>1</v>
          </cell>
        </row>
        <row r="238">
          <cell r="A238">
            <v>46149</v>
          </cell>
          <cell r="B238" t="str">
            <v>Sari gandum</v>
          </cell>
          <cell r="D238">
            <v>8</v>
          </cell>
          <cell r="J238">
            <v>2</v>
          </cell>
        </row>
        <row r="239">
          <cell r="A239">
            <v>46149</v>
          </cell>
          <cell r="B239" t="str">
            <v>Yogurt</v>
          </cell>
          <cell r="D239">
            <v>8</v>
          </cell>
          <cell r="J239">
            <v>0</v>
          </cell>
        </row>
        <row r="240">
          <cell r="A240">
            <v>46149</v>
          </cell>
          <cell r="B240" t="str">
            <v>Lemonilo chimi</v>
          </cell>
          <cell r="D240">
            <v>8</v>
          </cell>
          <cell r="J240">
            <v>0</v>
          </cell>
        </row>
        <row r="241">
          <cell r="A241">
            <v>46149</v>
          </cell>
          <cell r="B241" t="str">
            <v>Bawang Goreng</v>
          </cell>
          <cell r="D241">
            <v>9</v>
          </cell>
          <cell r="J241">
            <v>1</v>
          </cell>
        </row>
        <row r="242">
          <cell r="A242">
            <v>46149</v>
          </cell>
          <cell r="B242" t="str">
            <v>Keripik Tempe</v>
          </cell>
          <cell r="D242">
            <v>9</v>
          </cell>
          <cell r="J242">
            <v>4</v>
          </cell>
        </row>
        <row r="243">
          <cell r="A243">
            <v>46149</v>
          </cell>
          <cell r="B243" t="str">
            <v>Keripik Singkong</v>
          </cell>
          <cell r="D243">
            <v>9</v>
          </cell>
          <cell r="J243">
            <v>0</v>
          </cell>
        </row>
        <row r="244">
          <cell r="A244">
            <v>46149</v>
          </cell>
          <cell r="B244" t="str">
            <v>Kentang Mustofa Daun Jeruk</v>
          </cell>
          <cell r="D244">
            <v>9</v>
          </cell>
          <cell r="J244">
            <v>0</v>
          </cell>
        </row>
        <row r="245">
          <cell r="A245">
            <v>46149</v>
          </cell>
          <cell r="B245" t="str">
            <v>Komicin</v>
          </cell>
          <cell r="D245">
            <v>9</v>
          </cell>
          <cell r="J245">
            <v>0</v>
          </cell>
        </row>
        <row r="246">
          <cell r="A246">
            <v>46149</v>
          </cell>
          <cell r="B246" t="str">
            <v>DeSnack</v>
          </cell>
          <cell r="D246">
            <v>9</v>
          </cell>
          <cell r="J246">
            <v>2</v>
          </cell>
        </row>
        <row r="247">
          <cell r="A247">
            <v>46149</v>
          </cell>
          <cell r="B247" t="str">
            <v>Macaroni</v>
          </cell>
          <cell r="D247">
            <v>9</v>
          </cell>
          <cell r="J247">
            <v>0</v>
          </cell>
        </row>
        <row r="248">
          <cell r="A248">
            <v>46149</v>
          </cell>
          <cell r="B248" t="str">
            <v>Cimol Kering</v>
          </cell>
          <cell r="D248">
            <v>9</v>
          </cell>
          <cell r="J248">
            <v>0</v>
          </cell>
        </row>
        <row r="249">
          <cell r="A249">
            <v>46149</v>
          </cell>
          <cell r="B249" t="str">
            <v>Popcorn Ori</v>
          </cell>
          <cell r="D249">
            <v>9</v>
          </cell>
          <cell r="J249">
            <v>0</v>
          </cell>
        </row>
        <row r="250">
          <cell r="A250">
            <v>46149</v>
          </cell>
          <cell r="B250" t="str">
            <v>Popcorn Rasa</v>
          </cell>
          <cell r="D250">
            <v>9</v>
          </cell>
          <cell r="J250">
            <v>1</v>
          </cell>
        </row>
        <row r="251">
          <cell r="A251">
            <v>46149</v>
          </cell>
          <cell r="B251" t="str">
            <v>Pop Mie Mini</v>
          </cell>
          <cell r="D251">
            <v>9</v>
          </cell>
          <cell r="J251">
            <v>0</v>
          </cell>
        </row>
        <row r="252">
          <cell r="A252">
            <v>46149</v>
          </cell>
          <cell r="B252" t="str">
            <v>Mie Gemez</v>
          </cell>
          <cell r="D252">
            <v>9</v>
          </cell>
          <cell r="J252">
            <v>0</v>
          </cell>
        </row>
        <row r="253">
          <cell r="A253">
            <v>46149</v>
          </cell>
          <cell r="B253" t="str">
            <v>Cheetos</v>
          </cell>
          <cell r="D253">
            <v>9</v>
          </cell>
          <cell r="J253">
            <v>0</v>
          </cell>
        </row>
        <row r="254">
          <cell r="A254">
            <v>46149</v>
          </cell>
          <cell r="B254" t="str">
            <v>Amplang</v>
          </cell>
          <cell r="D254">
            <v>9</v>
          </cell>
          <cell r="J254">
            <v>2</v>
          </cell>
        </row>
        <row r="255">
          <cell r="A255">
            <v>46149</v>
          </cell>
          <cell r="B255" t="str">
            <v>Pisang Sale</v>
          </cell>
          <cell r="D255">
            <v>9</v>
          </cell>
          <cell r="J255">
            <v>0</v>
          </cell>
        </row>
        <row r="256">
          <cell r="A256">
            <v>46149</v>
          </cell>
          <cell r="B256" t="str">
            <v>Kacang Disco</v>
          </cell>
          <cell r="D256">
            <v>9</v>
          </cell>
          <cell r="J256">
            <v>3</v>
          </cell>
        </row>
        <row r="257">
          <cell r="A257">
            <v>46149</v>
          </cell>
          <cell r="B257" t="str">
            <v>Sari gandum</v>
          </cell>
          <cell r="D257">
            <v>9</v>
          </cell>
          <cell r="J257">
            <v>1</v>
          </cell>
        </row>
        <row r="258">
          <cell r="A258">
            <v>46149</v>
          </cell>
          <cell r="B258" t="str">
            <v>Yogurt</v>
          </cell>
          <cell r="D258">
            <v>9</v>
          </cell>
          <cell r="J258">
            <v>0</v>
          </cell>
        </row>
        <row r="259">
          <cell r="A259">
            <v>46149</v>
          </cell>
          <cell r="B259" t="str">
            <v>Lemonilo chimi</v>
          </cell>
          <cell r="D259">
            <v>9</v>
          </cell>
          <cell r="J259">
            <v>9</v>
          </cell>
        </row>
        <row r="260">
          <cell r="A260">
            <v>46153</v>
          </cell>
          <cell r="B260" t="str">
            <v>Bawang Goreng</v>
          </cell>
          <cell r="D260">
            <v>3</v>
          </cell>
          <cell r="J260">
            <v>0</v>
          </cell>
        </row>
        <row r="261">
          <cell r="A261">
            <v>46153</v>
          </cell>
          <cell r="B261" t="str">
            <v>Keripik Tempe</v>
          </cell>
          <cell r="D261">
            <v>3</v>
          </cell>
          <cell r="J261">
            <v>0</v>
          </cell>
        </row>
        <row r="262">
          <cell r="A262">
            <v>46153</v>
          </cell>
          <cell r="B262" t="str">
            <v>Keripik Singkong</v>
          </cell>
          <cell r="D262">
            <v>3</v>
          </cell>
          <cell r="J262">
            <v>2</v>
          </cell>
        </row>
        <row r="263">
          <cell r="A263">
            <v>46153</v>
          </cell>
          <cell r="B263" t="str">
            <v>Kentang Mustofa Daun Jeruk</v>
          </cell>
          <cell r="D263">
            <v>3</v>
          </cell>
          <cell r="J263">
            <v>3</v>
          </cell>
        </row>
        <row r="264">
          <cell r="A264">
            <v>46153</v>
          </cell>
          <cell r="B264" t="str">
            <v>Komicin</v>
          </cell>
          <cell r="D264">
            <v>3</v>
          </cell>
          <cell r="J264">
            <v>0</v>
          </cell>
        </row>
        <row r="265">
          <cell r="A265">
            <v>46153</v>
          </cell>
          <cell r="B265" t="str">
            <v>DeSnack</v>
          </cell>
          <cell r="D265">
            <v>3</v>
          </cell>
          <cell r="J265">
            <v>1</v>
          </cell>
        </row>
        <row r="266">
          <cell r="A266">
            <v>46153</v>
          </cell>
          <cell r="B266" t="str">
            <v>JajanYuk 18</v>
          </cell>
          <cell r="D266">
            <v>3</v>
          </cell>
          <cell r="J266">
            <v>4</v>
          </cell>
        </row>
        <row r="267">
          <cell r="A267">
            <v>46153</v>
          </cell>
          <cell r="B267" t="str">
            <v>JajanYuk 21</v>
          </cell>
          <cell r="D267">
            <v>3</v>
          </cell>
          <cell r="J267">
            <v>2</v>
          </cell>
        </row>
        <row r="268">
          <cell r="A268">
            <v>46153</v>
          </cell>
          <cell r="B268" t="str">
            <v>Popcorn ori</v>
          </cell>
          <cell r="D268">
            <v>3</v>
          </cell>
          <cell r="J268">
            <v>0</v>
          </cell>
        </row>
        <row r="269">
          <cell r="A269">
            <v>46153</v>
          </cell>
          <cell r="B269" t="str">
            <v>Popcorn Rasa</v>
          </cell>
          <cell r="D269">
            <v>3</v>
          </cell>
          <cell r="J269">
            <v>1</v>
          </cell>
        </row>
        <row r="270">
          <cell r="A270">
            <v>46153</v>
          </cell>
          <cell r="B270" t="str">
            <v>Pop Mie Mini</v>
          </cell>
          <cell r="D270">
            <v>3</v>
          </cell>
          <cell r="J270">
            <v>0</v>
          </cell>
        </row>
        <row r="271">
          <cell r="A271">
            <v>46153</v>
          </cell>
          <cell r="B271" t="str">
            <v>Mie Gemez</v>
          </cell>
          <cell r="D271">
            <v>3</v>
          </cell>
          <cell r="J271">
            <v>6</v>
          </cell>
        </row>
        <row r="272">
          <cell r="A272">
            <v>46153</v>
          </cell>
          <cell r="B272" t="str">
            <v>Cheetos</v>
          </cell>
          <cell r="D272">
            <v>3</v>
          </cell>
          <cell r="J272">
            <v>7</v>
          </cell>
        </row>
        <row r="273">
          <cell r="A273">
            <v>46153</v>
          </cell>
          <cell r="B273" t="str">
            <v>Amplang</v>
          </cell>
          <cell r="D273">
            <v>3</v>
          </cell>
          <cell r="J273">
            <v>0</v>
          </cell>
        </row>
        <row r="274">
          <cell r="A274">
            <v>46153</v>
          </cell>
          <cell r="B274" t="str">
            <v>Pisang Sale</v>
          </cell>
          <cell r="D274">
            <v>3</v>
          </cell>
          <cell r="J274">
            <v>10</v>
          </cell>
        </row>
        <row r="275">
          <cell r="A275">
            <v>46153</v>
          </cell>
          <cell r="B275" t="str">
            <v>Kacang Disco</v>
          </cell>
          <cell r="D275">
            <v>3</v>
          </cell>
          <cell r="J275">
            <v>5</v>
          </cell>
        </row>
        <row r="276">
          <cell r="A276">
            <v>46153</v>
          </cell>
          <cell r="B276" t="str">
            <v>Sari gandum</v>
          </cell>
          <cell r="D276">
            <v>3</v>
          </cell>
          <cell r="J276">
            <v>3</v>
          </cell>
        </row>
        <row r="277">
          <cell r="A277">
            <v>46153</v>
          </cell>
          <cell r="B277" t="str">
            <v>Yogurt</v>
          </cell>
          <cell r="D277">
            <v>3</v>
          </cell>
          <cell r="J277">
            <v>3</v>
          </cell>
        </row>
        <row r="278">
          <cell r="A278">
            <v>46153</v>
          </cell>
          <cell r="B278" t="str">
            <v>Lemonilo chimi</v>
          </cell>
          <cell r="D278">
            <v>3</v>
          </cell>
          <cell r="J278">
            <v>2</v>
          </cell>
        </row>
        <row r="279">
          <cell r="A279">
            <v>46153</v>
          </cell>
          <cell r="B279" t="str">
            <v>PopMie besar</v>
          </cell>
          <cell r="D279">
            <v>3</v>
          </cell>
          <cell r="J279">
            <v>4</v>
          </cell>
        </row>
        <row r="280">
          <cell r="A280">
            <v>46153</v>
          </cell>
          <cell r="B280" t="str">
            <v>YouC</v>
          </cell>
          <cell r="D280">
            <v>3</v>
          </cell>
          <cell r="J280">
            <v>2</v>
          </cell>
        </row>
        <row r="281">
          <cell r="A281">
            <v>46153</v>
          </cell>
          <cell r="B281" t="str">
            <v>Bawang Goreng</v>
          </cell>
          <cell r="D281">
            <v>8</v>
          </cell>
          <cell r="J281">
            <v>0</v>
          </cell>
        </row>
        <row r="282">
          <cell r="A282">
            <v>46153</v>
          </cell>
          <cell r="B282" t="str">
            <v>Keripik Tempe</v>
          </cell>
          <cell r="D282">
            <v>8</v>
          </cell>
          <cell r="J282">
            <v>0</v>
          </cell>
        </row>
        <row r="283">
          <cell r="A283">
            <v>46153</v>
          </cell>
          <cell r="B283" t="str">
            <v>Keripik Singkong</v>
          </cell>
          <cell r="D283">
            <v>8</v>
          </cell>
          <cell r="J283">
            <v>0</v>
          </cell>
        </row>
        <row r="284">
          <cell r="A284">
            <v>46153</v>
          </cell>
          <cell r="B284" t="str">
            <v>Kentang Mustofa Daun Jeruk</v>
          </cell>
          <cell r="D284">
            <v>8</v>
          </cell>
          <cell r="J284">
            <v>0</v>
          </cell>
        </row>
        <row r="285">
          <cell r="A285">
            <v>46153</v>
          </cell>
          <cell r="B285" t="str">
            <v>Komicin</v>
          </cell>
          <cell r="D285">
            <v>8</v>
          </cell>
          <cell r="J285">
            <v>0</v>
          </cell>
        </row>
        <row r="286">
          <cell r="A286">
            <v>46153</v>
          </cell>
          <cell r="B286" t="str">
            <v>DeSnack</v>
          </cell>
          <cell r="D286">
            <v>8</v>
          </cell>
          <cell r="J286">
            <v>2</v>
          </cell>
        </row>
        <row r="287">
          <cell r="A287">
            <v>46153</v>
          </cell>
          <cell r="B287" t="str">
            <v>JajanYuk 18</v>
          </cell>
          <cell r="D287">
            <v>8</v>
          </cell>
          <cell r="J287">
            <v>0</v>
          </cell>
        </row>
        <row r="288">
          <cell r="A288">
            <v>46153</v>
          </cell>
          <cell r="B288" t="str">
            <v>JajanYuk 21</v>
          </cell>
          <cell r="D288">
            <v>8</v>
          </cell>
          <cell r="J288">
            <v>0</v>
          </cell>
        </row>
        <row r="289">
          <cell r="A289">
            <v>46153</v>
          </cell>
          <cell r="B289" t="str">
            <v>Popcorn ori</v>
          </cell>
          <cell r="D289">
            <v>8</v>
          </cell>
          <cell r="J289">
            <v>0</v>
          </cell>
        </row>
        <row r="290">
          <cell r="A290">
            <v>46153</v>
          </cell>
          <cell r="B290" t="str">
            <v>Popcorn Rasa</v>
          </cell>
          <cell r="D290">
            <v>8</v>
          </cell>
          <cell r="J290">
            <v>0</v>
          </cell>
        </row>
        <row r="291">
          <cell r="A291">
            <v>46153</v>
          </cell>
          <cell r="B291" t="str">
            <v>Pop Mie Mini</v>
          </cell>
          <cell r="D291">
            <v>8</v>
          </cell>
          <cell r="J291">
            <v>2</v>
          </cell>
        </row>
        <row r="292">
          <cell r="A292">
            <v>46153</v>
          </cell>
          <cell r="B292" t="str">
            <v>Mie Gemez</v>
          </cell>
          <cell r="D292">
            <v>8</v>
          </cell>
          <cell r="J292">
            <v>1</v>
          </cell>
        </row>
        <row r="293">
          <cell r="A293">
            <v>46153</v>
          </cell>
          <cell r="B293" t="str">
            <v>Cheetos</v>
          </cell>
          <cell r="D293">
            <v>8</v>
          </cell>
          <cell r="J293">
            <v>10</v>
          </cell>
        </row>
        <row r="294">
          <cell r="A294">
            <v>46153</v>
          </cell>
          <cell r="B294" t="str">
            <v>Amplang</v>
          </cell>
          <cell r="D294">
            <v>8</v>
          </cell>
          <cell r="J294">
            <v>3</v>
          </cell>
        </row>
        <row r="295">
          <cell r="A295">
            <v>46153</v>
          </cell>
          <cell r="B295" t="str">
            <v>Pisang Sale</v>
          </cell>
          <cell r="D295">
            <v>8</v>
          </cell>
          <cell r="J295">
            <v>2</v>
          </cell>
        </row>
        <row r="296">
          <cell r="A296">
            <v>46153</v>
          </cell>
          <cell r="B296" t="str">
            <v>Kacang Disco</v>
          </cell>
          <cell r="D296">
            <v>8</v>
          </cell>
          <cell r="J296">
            <v>0</v>
          </cell>
        </row>
        <row r="297">
          <cell r="A297">
            <v>46153</v>
          </cell>
          <cell r="B297" t="str">
            <v>Sari gandum</v>
          </cell>
          <cell r="D297">
            <v>8</v>
          </cell>
          <cell r="J297">
            <v>3</v>
          </cell>
        </row>
        <row r="298">
          <cell r="A298">
            <v>46153</v>
          </cell>
          <cell r="B298" t="str">
            <v>Yogurt</v>
          </cell>
          <cell r="D298">
            <v>8</v>
          </cell>
          <cell r="J298">
            <v>0</v>
          </cell>
        </row>
        <row r="299">
          <cell r="A299">
            <v>46153</v>
          </cell>
          <cell r="B299" t="str">
            <v>Lemonilo chimi</v>
          </cell>
          <cell r="D299">
            <v>8</v>
          </cell>
          <cell r="J299">
            <v>2</v>
          </cell>
        </row>
        <row r="300">
          <cell r="A300">
            <v>46153</v>
          </cell>
          <cell r="B300" t="str">
            <v>PopMie besar</v>
          </cell>
          <cell r="D300">
            <v>8</v>
          </cell>
          <cell r="J300">
            <v>5</v>
          </cell>
        </row>
        <row r="301">
          <cell r="A301">
            <v>46153</v>
          </cell>
          <cell r="B301" t="str">
            <v>YouC</v>
          </cell>
          <cell r="D301">
            <v>8</v>
          </cell>
          <cell r="J301">
            <v>0</v>
          </cell>
        </row>
        <row r="302">
          <cell r="A302">
            <v>46153</v>
          </cell>
          <cell r="B302" t="str">
            <v>Bawang Goreng</v>
          </cell>
          <cell r="D302">
            <v>9</v>
          </cell>
          <cell r="J302">
            <v>0</v>
          </cell>
        </row>
        <row r="303">
          <cell r="A303">
            <v>46153</v>
          </cell>
          <cell r="B303" t="str">
            <v>Keripik Tempe</v>
          </cell>
          <cell r="D303">
            <v>9</v>
          </cell>
          <cell r="J303">
            <v>0</v>
          </cell>
        </row>
        <row r="304">
          <cell r="A304">
            <v>46153</v>
          </cell>
          <cell r="B304" t="str">
            <v>Keripik Singkong</v>
          </cell>
          <cell r="D304">
            <v>9</v>
          </cell>
          <cell r="J304">
            <v>0</v>
          </cell>
        </row>
        <row r="305">
          <cell r="A305">
            <v>46153</v>
          </cell>
          <cell r="B305" t="str">
            <v>Kentang Mustofa Daun Jeruk</v>
          </cell>
          <cell r="D305">
            <v>9</v>
          </cell>
          <cell r="J305">
            <v>0</v>
          </cell>
        </row>
        <row r="306">
          <cell r="A306">
            <v>46153</v>
          </cell>
          <cell r="B306" t="str">
            <v>Komicin</v>
          </cell>
          <cell r="D306">
            <v>9</v>
          </cell>
          <cell r="J306">
            <v>0</v>
          </cell>
        </row>
        <row r="307">
          <cell r="A307">
            <v>46153</v>
          </cell>
          <cell r="B307" t="str">
            <v>DeSnack</v>
          </cell>
          <cell r="D307">
            <v>9</v>
          </cell>
          <cell r="J307">
            <v>3</v>
          </cell>
        </row>
        <row r="308">
          <cell r="A308">
            <v>46153</v>
          </cell>
          <cell r="B308" t="str">
            <v>JajanYuk 18</v>
          </cell>
          <cell r="D308">
            <v>9</v>
          </cell>
          <cell r="J308">
            <v>4</v>
          </cell>
        </row>
        <row r="309">
          <cell r="A309">
            <v>46153</v>
          </cell>
          <cell r="B309" t="str">
            <v>JajanYuk 21</v>
          </cell>
          <cell r="D309">
            <v>9</v>
          </cell>
          <cell r="J309">
            <v>2</v>
          </cell>
        </row>
        <row r="310">
          <cell r="A310">
            <v>46153</v>
          </cell>
          <cell r="B310" t="str">
            <v>Popcorn ori</v>
          </cell>
          <cell r="D310">
            <v>9</v>
          </cell>
          <cell r="J310">
            <v>0</v>
          </cell>
        </row>
        <row r="311">
          <cell r="A311">
            <v>46153</v>
          </cell>
          <cell r="B311" t="str">
            <v>Popcorn Rasa</v>
          </cell>
          <cell r="D311">
            <v>9</v>
          </cell>
          <cell r="J311">
            <v>1</v>
          </cell>
        </row>
        <row r="312">
          <cell r="A312">
            <v>46153</v>
          </cell>
          <cell r="B312" t="str">
            <v>Pop Mie Mini</v>
          </cell>
          <cell r="D312">
            <v>9</v>
          </cell>
          <cell r="J312">
            <v>1</v>
          </cell>
        </row>
        <row r="313">
          <cell r="A313">
            <v>46153</v>
          </cell>
          <cell r="B313" t="str">
            <v>Mie Gemez</v>
          </cell>
          <cell r="D313">
            <v>9</v>
          </cell>
          <cell r="J313">
            <v>6</v>
          </cell>
        </row>
        <row r="314">
          <cell r="A314">
            <v>46153</v>
          </cell>
          <cell r="B314" t="str">
            <v>Cheetos</v>
          </cell>
          <cell r="D314">
            <v>9</v>
          </cell>
          <cell r="J314">
            <v>7</v>
          </cell>
        </row>
        <row r="315">
          <cell r="A315">
            <v>46153</v>
          </cell>
          <cell r="B315" t="str">
            <v>Amplang</v>
          </cell>
          <cell r="D315">
            <v>9</v>
          </cell>
          <cell r="J315">
            <v>0</v>
          </cell>
        </row>
        <row r="316">
          <cell r="A316">
            <v>46153</v>
          </cell>
          <cell r="B316" t="str">
            <v>Pisang Sale</v>
          </cell>
          <cell r="D316">
            <v>9</v>
          </cell>
          <cell r="J316">
            <v>10</v>
          </cell>
        </row>
        <row r="317">
          <cell r="A317">
            <v>46153</v>
          </cell>
          <cell r="B317" t="str">
            <v>Kacang Disco</v>
          </cell>
          <cell r="D317">
            <v>9</v>
          </cell>
          <cell r="J317">
            <v>2</v>
          </cell>
        </row>
        <row r="318">
          <cell r="A318">
            <v>46153</v>
          </cell>
          <cell r="B318" t="str">
            <v>Sari gandum</v>
          </cell>
          <cell r="D318">
            <v>9</v>
          </cell>
          <cell r="J318">
            <v>3</v>
          </cell>
        </row>
        <row r="319">
          <cell r="A319">
            <v>46153</v>
          </cell>
          <cell r="B319" t="str">
            <v>Yogurt</v>
          </cell>
          <cell r="D319">
            <v>9</v>
          </cell>
          <cell r="J319">
            <v>3</v>
          </cell>
        </row>
        <row r="320">
          <cell r="A320">
            <v>46153</v>
          </cell>
          <cell r="B320" t="str">
            <v>Lemonilo chimi</v>
          </cell>
          <cell r="D320">
            <v>9</v>
          </cell>
          <cell r="J320">
            <v>2</v>
          </cell>
        </row>
        <row r="321">
          <cell r="A321">
            <v>46153</v>
          </cell>
          <cell r="B321" t="str">
            <v>PopMie besar</v>
          </cell>
          <cell r="D321">
            <v>9</v>
          </cell>
          <cell r="J321">
            <v>4</v>
          </cell>
        </row>
        <row r="322">
          <cell r="A322">
            <v>46153</v>
          </cell>
          <cell r="B322" t="str">
            <v>YouC</v>
          </cell>
          <cell r="D322">
            <v>9</v>
          </cell>
          <cell r="J322">
            <v>2</v>
          </cell>
        </row>
        <row r="323">
          <cell r="A323">
            <v>46154</v>
          </cell>
          <cell r="B323" t="str">
            <v>Bawang Goreng</v>
          </cell>
          <cell r="D323">
            <v>3</v>
          </cell>
          <cell r="J323">
            <v>4</v>
          </cell>
        </row>
        <row r="324">
          <cell r="A324">
            <v>46154</v>
          </cell>
          <cell r="B324" t="str">
            <v>Keripik Tempe</v>
          </cell>
          <cell r="D324">
            <v>3</v>
          </cell>
          <cell r="J324">
            <v>6</v>
          </cell>
        </row>
        <row r="325">
          <cell r="A325">
            <v>46154</v>
          </cell>
          <cell r="B325" t="str">
            <v>Keripik Singkong</v>
          </cell>
          <cell r="D325">
            <v>3</v>
          </cell>
          <cell r="J325">
            <v>-1</v>
          </cell>
        </row>
        <row r="326">
          <cell r="A326">
            <v>46154</v>
          </cell>
          <cell r="B326" t="str">
            <v>Kentang Mustofa Daun Jeruk</v>
          </cell>
          <cell r="D326">
            <v>3</v>
          </cell>
          <cell r="J326">
            <v>-2</v>
          </cell>
        </row>
        <row r="327">
          <cell r="A327">
            <v>46154</v>
          </cell>
          <cell r="B327" t="str">
            <v>Komicin</v>
          </cell>
          <cell r="D327">
            <v>3</v>
          </cell>
          <cell r="J327">
            <v>3</v>
          </cell>
        </row>
        <row r="328">
          <cell r="A328">
            <v>46154</v>
          </cell>
          <cell r="B328" t="str">
            <v>DeSnack</v>
          </cell>
          <cell r="D328">
            <v>3</v>
          </cell>
          <cell r="J328">
            <v>0</v>
          </cell>
        </row>
        <row r="329">
          <cell r="A329">
            <v>46154</v>
          </cell>
          <cell r="B329" t="str">
            <v>JajanYuk 18</v>
          </cell>
          <cell r="D329">
            <v>3</v>
          </cell>
          <cell r="J329">
            <v>-2</v>
          </cell>
        </row>
        <row r="330">
          <cell r="A330">
            <v>46154</v>
          </cell>
          <cell r="B330" t="str">
            <v>JajanYuk 21</v>
          </cell>
          <cell r="D330">
            <v>3</v>
          </cell>
          <cell r="J330">
            <v>1</v>
          </cell>
        </row>
        <row r="331">
          <cell r="A331">
            <v>46154</v>
          </cell>
          <cell r="B331" t="str">
            <v>Popcorn ori</v>
          </cell>
          <cell r="D331">
            <v>3</v>
          </cell>
          <cell r="J331">
            <v>1</v>
          </cell>
        </row>
        <row r="332">
          <cell r="A332">
            <v>46154</v>
          </cell>
          <cell r="B332" t="str">
            <v>Popcorn Rasa</v>
          </cell>
          <cell r="D332">
            <v>3</v>
          </cell>
          <cell r="J332">
            <v>2</v>
          </cell>
        </row>
        <row r="333">
          <cell r="A333">
            <v>46154</v>
          </cell>
          <cell r="B333" t="str">
            <v>Pop Mie Mini</v>
          </cell>
          <cell r="D333">
            <v>3</v>
          </cell>
          <cell r="J333">
            <v>0</v>
          </cell>
        </row>
        <row r="334">
          <cell r="A334">
            <v>46154</v>
          </cell>
          <cell r="B334" t="str">
            <v>Mie Gemez</v>
          </cell>
          <cell r="D334">
            <v>3</v>
          </cell>
          <cell r="J334">
            <v>10</v>
          </cell>
        </row>
        <row r="335">
          <cell r="A335">
            <v>46154</v>
          </cell>
          <cell r="B335" t="str">
            <v>Cheetos</v>
          </cell>
          <cell r="D335">
            <v>3</v>
          </cell>
          <cell r="J335">
            <v>4</v>
          </cell>
        </row>
        <row r="336">
          <cell r="A336">
            <v>46154</v>
          </cell>
          <cell r="B336" t="str">
            <v>Amplang</v>
          </cell>
          <cell r="D336">
            <v>3</v>
          </cell>
          <cell r="J336">
            <v>3</v>
          </cell>
        </row>
        <row r="337">
          <cell r="A337">
            <v>46154</v>
          </cell>
          <cell r="B337" t="str">
            <v>Pisang Sale</v>
          </cell>
          <cell r="D337">
            <v>3</v>
          </cell>
          <cell r="J337">
            <v>0</v>
          </cell>
        </row>
        <row r="338">
          <cell r="A338">
            <v>46154</v>
          </cell>
          <cell r="B338" t="str">
            <v>Kacang Disco</v>
          </cell>
          <cell r="D338">
            <v>3</v>
          </cell>
          <cell r="J338">
            <v>-3</v>
          </cell>
        </row>
        <row r="339">
          <cell r="A339">
            <v>46154</v>
          </cell>
          <cell r="B339" t="str">
            <v>Sari gandum</v>
          </cell>
          <cell r="D339">
            <v>3</v>
          </cell>
          <cell r="J339">
            <v>0</v>
          </cell>
        </row>
        <row r="340">
          <cell r="A340">
            <v>46154</v>
          </cell>
          <cell r="B340" t="str">
            <v>Yogurt</v>
          </cell>
          <cell r="D340">
            <v>3</v>
          </cell>
          <cell r="J340">
            <v>-1</v>
          </cell>
        </row>
        <row r="341">
          <cell r="A341">
            <v>46154</v>
          </cell>
          <cell r="B341" t="str">
            <v>Lemonilo chimi</v>
          </cell>
          <cell r="D341">
            <v>3</v>
          </cell>
          <cell r="J341">
            <v>13</v>
          </cell>
        </row>
        <row r="342">
          <cell r="A342">
            <v>46154</v>
          </cell>
          <cell r="B342" t="str">
            <v>PopMie besar</v>
          </cell>
          <cell r="D342">
            <v>3</v>
          </cell>
          <cell r="J342">
            <v>0</v>
          </cell>
        </row>
        <row r="343">
          <cell r="A343">
            <v>46154</v>
          </cell>
          <cell r="B343" t="str">
            <v>YouC</v>
          </cell>
          <cell r="D343">
            <v>3</v>
          </cell>
          <cell r="J343">
            <v>-1</v>
          </cell>
        </row>
        <row r="344">
          <cell r="A344">
            <v>46154</v>
          </cell>
          <cell r="B344" t="str">
            <v>Bawang Goreng</v>
          </cell>
          <cell r="D344">
            <v>8</v>
          </cell>
          <cell r="J344">
            <v>0</v>
          </cell>
        </row>
        <row r="345">
          <cell r="A345">
            <v>46154</v>
          </cell>
          <cell r="B345" t="str">
            <v>Keripik Tempe</v>
          </cell>
          <cell r="D345">
            <v>8</v>
          </cell>
          <cell r="J345">
            <v>5</v>
          </cell>
        </row>
        <row r="346">
          <cell r="A346">
            <v>46154</v>
          </cell>
          <cell r="B346" t="str">
            <v>Keripik Singkong</v>
          </cell>
          <cell r="D346">
            <v>8</v>
          </cell>
          <cell r="J346">
            <v>0</v>
          </cell>
        </row>
        <row r="347">
          <cell r="A347">
            <v>46154</v>
          </cell>
          <cell r="B347" t="str">
            <v>Kentang Mustofa Daun Jeruk</v>
          </cell>
          <cell r="D347">
            <v>8</v>
          </cell>
          <cell r="J347">
            <v>0</v>
          </cell>
        </row>
        <row r="348">
          <cell r="A348">
            <v>46154</v>
          </cell>
          <cell r="B348" t="str">
            <v>Komicin</v>
          </cell>
          <cell r="D348">
            <v>8</v>
          </cell>
          <cell r="J348">
            <v>1</v>
          </cell>
        </row>
        <row r="349">
          <cell r="A349">
            <v>46154</v>
          </cell>
          <cell r="B349" t="str">
            <v>DeSnack</v>
          </cell>
          <cell r="D349">
            <v>8</v>
          </cell>
          <cell r="J349">
            <v>1</v>
          </cell>
        </row>
        <row r="350">
          <cell r="A350">
            <v>46154</v>
          </cell>
          <cell r="B350" t="str">
            <v>JajanYuk 18</v>
          </cell>
          <cell r="D350">
            <v>8</v>
          </cell>
          <cell r="J350">
            <v>0</v>
          </cell>
        </row>
        <row r="351">
          <cell r="A351">
            <v>46154</v>
          </cell>
          <cell r="B351" t="str">
            <v>JajanYuk 21</v>
          </cell>
          <cell r="D351">
            <v>8</v>
          </cell>
          <cell r="J351">
            <v>3</v>
          </cell>
        </row>
        <row r="352">
          <cell r="A352">
            <v>46154</v>
          </cell>
          <cell r="B352" t="str">
            <v>Popcorn ori</v>
          </cell>
          <cell r="D352">
            <v>8</v>
          </cell>
          <cell r="J352">
            <v>0</v>
          </cell>
        </row>
        <row r="353">
          <cell r="A353">
            <v>46154</v>
          </cell>
          <cell r="B353" t="str">
            <v>Popcorn Rasa</v>
          </cell>
          <cell r="D353">
            <v>8</v>
          </cell>
          <cell r="J353">
            <v>2</v>
          </cell>
        </row>
        <row r="354">
          <cell r="A354">
            <v>46154</v>
          </cell>
          <cell r="B354" t="str">
            <v>Pop Mie Mini</v>
          </cell>
          <cell r="D354">
            <v>8</v>
          </cell>
          <cell r="J354">
            <v>1</v>
          </cell>
        </row>
        <row r="355">
          <cell r="A355">
            <v>46154</v>
          </cell>
          <cell r="B355" t="str">
            <v>Mie Gemez</v>
          </cell>
          <cell r="D355">
            <v>8</v>
          </cell>
          <cell r="J355">
            <v>1</v>
          </cell>
        </row>
        <row r="356">
          <cell r="A356">
            <v>46154</v>
          </cell>
          <cell r="B356" t="str">
            <v>Cheetos</v>
          </cell>
          <cell r="D356">
            <v>8</v>
          </cell>
          <cell r="J356">
            <v>2</v>
          </cell>
        </row>
        <row r="357">
          <cell r="A357">
            <v>46154</v>
          </cell>
          <cell r="B357" t="str">
            <v>Amplang</v>
          </cell>
          <cell r="D357">
            <v>8</v>
          </cell>
          <cell r="J357">
            <v>4</v>
          </cell>
        </row>
        <row r="358">
          <cell r="A358">
            <v>46154</v>
          </cell>
          <cell r="B358" t="str">
            <v>Pisang Sale</v>
          </cell>
          <cell r="D358">
            <v>8</v>
          </cell>
          <cell r="J358">
            <v>3</v>
          </cell>
        </row>
        <row r="359">
          <cell r="A359">
            <v>46154</v>
          </cell>
          <cell r="B359" t="str">
            <v>Kacang Disco</v>
          </cell>
          <cell r="D359">
            <v>8</v>
          </cell>
          <cell r="J359">
            <v>0</v>
          </cell>
        </row>
        <row r="360">
          <cell r="A360">
            <v>46154</v>
          </cell>
          <cell r="B360" t="str">
            <v>Sari gandum</v>
          </cell>
          <cell r="D360">
            <v>8</v>
          </cell>
          <cell r="J360">
            <v>3</v>
          </cell>
        </row>
        <row r="361">
          <cell r="A361">
            <v>46154</v>
          </cell>
          <cell r="B361" t="str">
            <v>Yogurt</v>
          </cell>
          <cell r="D361">
            <v>8</v>
          </cell>
          <cell r="J361">
            <v>2</v>
          </cell>
        </row>
        <row r="362">
          <cell r="A362">
            <v>46154</v>
          </cell>
          <cell r="B362" t="str">
            <v>Lemonilo chimi</v>
          </cell>
          <cell r="D362">
            <v>8</v>
          </cell>
          <cell r="J362">
            <v>2</v>
          </cell>
        </row>
        <row r="363">
          <cell r="A363">
            <v>46154</v>
          </cell>
          <cell r="B363" t="str">
            <v>PopMie besar</v>
          </cell>
          <cell r="D363">
            <v>8</v>
          </cell>
          <cell r="J363">
            <v>1</v>
          </cell>
        </row>
        <row r="364">
          <cell r="A364">
            <v>46154</v>
          </cell>
          <cell r="B364" t="str">
            <v>YouC</v>
          </cell>
          <cell r="D364">
            <v>8</v>
          </cell>
          <cell r="J364">
            <v>2</v>
          </cell>
        </row>
        <row r="365">
          <cell r="A365">
            <v>46154</v>
          </cell>
          <cell r="B365" t="str">
            <v>Bawang Goreng</v>
          </cell>
          <cell r="D365">
            <v>9</v>
          </cell>
          <cell r="J365">
            <v>1</v>
          </cell>
        </row>
        <row r="366">
          <cell r="A366">
            <v>46154</v>
          </cell>
          <cell r="B366" t="str">
            <v>Keripik Tempe</v>
          </cell>
          <cell r="D366">
            <v>9</v>
          </cell>
          <cell r="J366">
            <v>5</v>
          </cell>
        </row>
        <row r="367">
          <cell r="A367">
            <v>46154</v>
          </cell>
          <cell r="B367" t="str">
            <v>Keripik Singkong</v>
          </cell>
          <cell r="D367">
            <v>9</v>
          </cell>
          <cell r="J367">
            <v>0</v>
          </cell>
        </row>
        <row r="368">
          <cell r="A368">
            <v>46154</v>
          </cell>
          <cell r="B368" t="str">
            <v>Kentang Mustofa Daun Jeruk</v>
          </cell>
          <cell r="D368">
            <v>9</v>
          </cell>
          <cell r="J368">
            <v>0</v>
          </cell>
        </row>
        <row r="369">
          <cell r="A369">
            <v>46154</v>
          </cell>
          <cell r="B369" t="str">
            <v>Komicin</v>
          </cell>
          <cell r="D369">
            <v>9</v>
          </cell>
          <cell r="J369">
            <v>7</v>
          </cell>
        </row>
        <row r="370">
          <cell r="A370">
            <v>46154</v>
          </cell>
          <cell r="B370" t="str">
            <v>DeSnack</v>
          </cell>
          <cell r="D370">
            <v>9</v>
          </cell>
          <cell r="J370">
            <v>0</v>
          </cell>
        </row>
        <row r="371">
          <cell r="A371">
            <v>46154</v>
          </cell>
          <cell r="B371" t="str">
            <v>JajanYuk 18</v>
          </cell>
          <cell r="D371">
            <v>9</v>
          </cell>
          <cell r="J371">
            <v>0</v>
          </cell>
        </row>
        <row r="372">
          <cell r="A372">
            <v>46154</v>
          </cell>
          <cell r="B372" t="str">
            <v>JajanYuk 21</v>
          </cell>
          <cell r="D372">
            <v>9</v>
          </cell>
          <cell r="J372">
            <v>1</v>
          </cell>
        </row>
        <row r="373">
          <cell r="A373">
            <v>46154</v>
          </cell>
          <cell r="B373" t="str">
            <v>Popcorn ori</v>
          </cell>
          <cell r="D373">
            <v>9</v>
          </cell>
          <cell r="J373">
            <v>0</v>
          </cell>
        </row>
        <row r="374">
          <cell r="A374">
            <v>46154</v>
          </cell>
          <cell r="B374" t="str">
            <v>Popcorn Rasa</v>
          </cell>
          <cell r="D374">
            <v>9</v>
          </cell>
          <cell r="J374">
            <v>0</v>
          </cell>
        </row>
        <row r="375">
          <cell r="A375">
            <v>46154</v>
          </cell>
          <cell r="B375" t="str">
            <v>Pop Mie Mini</v>
          </cell>
          <cell r="D375">
            <v>9</v>
          </cell>
          <cell r="J375">
            <v>2</v>
          </cell>
        </row>
        <row r="376">
          <cell r="A376">
            <v>46154</v>
          </cell>
          <cell r="B376" t="str">
            <v>Mie Gemez</v>
          </cell>
          <cell r="D376">
            <v>9</v>
          </cell>
          <cell r="J376">
            <v>7</v>
          </cell>
        </row>
        <row r="377">
          <cell r="A377">
            <v>46154</v>
          </cell>
          <cell r="B377" t="str">
            <v>Cheetos</v>
          </cell>
          <cell r="D377">
            <v>9</v>
          </cell>
          <cell r="J377">
            <v>3</v>
          </cell>
        </row>
        <row r="378">
          <cell r="A378">
            <v>46154</v>
          </cell>
          <cell r="B378" t="str">
            <v>Amplang</v>
          </cell>
          <cell r="D378">
            <v>9</v>
          </cell>
          <cell r="J378">
            <v>0</v>
          </cell>
        </row>
        <row r="379">
          <cell r="A379">
            <v>46154</v>
          </cell>
          <cell r="B379" t="str">
            <v>Pisang Sale</v>
          </cell>
          <cell r="D379">
            <v>9</v>
          </cell>
          <cell r="J379">
            <v>9</v>
          </cell>
        </row>
        <row r="380">
          <cell r="A380">
            <v>46154</v>
          </cell>
          <cell r="B380" t="str">
            <v>Kacang Disco</v>
          </cell>
          <cell r="D380">
            <v>9</v>
          </cell>
          <cell r="J380">
            <v>0</v>
          </cell>
        </row>
        <row r="381">
          <cell r="A381">
            <v>46154</v>
          </cell>
          <cell r="B381" t="str">
            <v>Sari gandum</v>
          </cell>
          <cell r="D381">
            <v>9</v>
          </cell>
          <cell r="J381">
            <v>3</v>
          </cell>
        </row>
        <row r="382">
          <cell r="A382">
            <v>46154</v>
          </cell>
          <cell r="B382" t="str">
            <v>Yogurt</v>
          </cell>
          <cell r="D382">
            <v>9</v>
          </cell>
          <cell r="J382">
            <v>1</v>
          </cell>
        </row>
        <row r="383">
          <cell r="A383">
            <v>46154</v>
          </cell>
          <cell r="B383" t="str">
            <v>Lemonilo chimi</v>
          </cell>
          <cell r="D383">
            <v>9</v>
          </cell>
          <cell r="J383">
            <v>4</v>
          </cell>
        </row>
        <row r="384">
          <cell r="A384">
            <v>46154</v>
          </cell>
          <cell r="B384" t="str">
            <v>PopMie besar</v>
          </cell>
          <cell r="D384">
            <v>9</v>
          </cell>
          <cell r="J384">
            <v>3</v>
          </cell>
        </row>
        <row r="385">
          <cell r="A385">
            <v>46154</v>
          </cell>
          <cell r="B385" t="str">
            <v>YouC</v>
          </cell>
          <cell r="D385">
            <v>9</v>
          </cell>
          <cell r="J385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di Farras Thariq Hasibuan" id="{7AD5508D-0AF0-4DEE-9664-71FEE2B78628}" userId="S::68766@fif.co.id::cc0bbbe6-0d0b-4bec-8e41-e17e17e68d4e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" dT="2026-05-13T07:25:15.72" personId="{7AD5508D-0AF0-4DEE-9664-71FEE2B78628}" id="{55CCB423-94F8-4DD3-AC3B-01FC8A93D9FF}">
    <text>Jumlah Perkiraan yang akan distock untuk H+1</text>
  </threadedComment>
  <threadedComment ref="K1" dT="2026-05-13T07:23:30.89" personId="{7AD5508D-0AF0-4DEE-9664-71FEE2B78628}" id="{2BDB33BA-1EDA-44B9-858F-CDAE15DE8195}">
    <text>Jumlah brg yg dikembalikan oleh pembeli setelah stock sore dilakukan</text>
  </threadedComment>
  <threadedComment ref="L1" dT="2026-05-13T07:23:43.68" personId="{7AD5508D-0AF0-4DEE-9664-71FEE2B78628}" id="{33EB7A4A-E184-4315-B1E9-A204B2C378B0}">
    <text>Jumlah brg yg pada olsera</text>
  </threadedComment>
  <threadedComment ref="M1" dT="2026-05-13T07:24:50.28" personId="{7AD5508D-0AF0-4DEE-9664-71FEE2B78628}" id="{B345C8FF-7A83-4F56-9C45-6851E6E0A100}">
    <text>Jumlah stock yg dicek pada sore hari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7C034-9B74-489D-BC47-18F75F54ECD0}">
  <dimension ref="A1:C24"/>
  <sheetViews>
    <sheetView workbookViewId="0">
      <selection activeCell="B1" sqref="B1"/>
    </sheetView>
  </sheetViews>
  <sheetFormatPr defaultRowHeight="14.4" x14ac:dyDescent="0.3"/>
  <cols>
    <col min="1" max="1" width="3.33203125" bestFit="1" customWidth="1"/>
    <col min="2" max="2" width="25" bestFit="1" customWidth="1"/>
    <col min="3" max="3" width="11.33203125" style="29" bestFit="1" customWidth="1"/>
  </cols>
  <sheetData>
    <row r="1" spans="1:3" x14ac:dyDescent="0.3">
      <c r="A1" t="s">
        <v>0</v>
      </c>
      <c r="B1" t="s">
        <v>1</v>
      </c>
      <c r="C1" s="29" t="s">
        <v>2</v>
      </c>
    </row>
    <row r="2" spans="1:3" x14ac:dyDescent="0.3">
      <c r="A2">
        <v>1</v>
      </c>
      <c r="B2" t="s">
        <v>3</v>
      </c>
      <c r="C2" s="29">
        <v>44</v>
      </c>
    </row>
    <row r="3" spans="1:3" x14ac:dyDescent="0.3">
      <c r="A3">
        <v>2</v>
      </c>
      <c r="B3" t="s">
        <v>4</v>
      </c>
      <c r="C3" s="29">
        <v>21</v>
      </c>
    </row>
    <row r="4" spans="1:3" x14ac:dyDescent="0.3">
      <c r="A4">
        <v>3</v>
      </c>
      <c r="B4" t="s">
        <v>5</v>
      </c>
      <c r="C4" s="29">
        <v>80</v>
      </c>
    </row>
    <row r="5" spans="1:3" x14ac:dyDescent="0.3">
      <c r="A5">
        <v>4</v>
      </c>
      <c r="B5" t="s">
        <v>6</v>
      </c>
      <c r="C5" s="29">
        <v>10</v>
      </c>
    </row>
    <row r="6" spans="1:3" x14ac:dyDescent="0.3">
      <c r="A6">
        <v>5</v>
      </c>
      <c r="B6" t="s">
        <v>7</v>
      </c>
      <c r="C6" s="29">
        <v>41</v>
      </c>
    </row>
    <row r="7" spans="1:3" x14ac:dyDescent="0.3">
      <c r="A7">
        <v>6</v>
      </c>
      <c r="B7" t="s">
        <v>8</v>
      </c>
      <c r="C7" s="29">
        <v>8</v>
      </c>
    </row>
    <row r="8" spans="1:3" x14ac:dyDescent="0.3">
      <c r="A8">
        <v>7</v>
      </c>
      <c r="B8" t="s">
        <v>9</v>
      </c>
      <c r="C8" s="29">
        <v>9</v>
      </c>
    </row>
    <row r="9" spans="1:3" x14ac:dyDescent="0.3">
      <c r="A9">
        <v>8</v>
      </c>
      <c r="B9" t="s">
        <v>10</v>
      </c>
      <c r="C9" s="29">
        <v>20</v>
      </c>
    </row>
    <row r="10" spans="1:3" x14ac:dyDescent="0.3">
      <c r="A10">
        <v>9</v>
      </c>
      <c r="B10" t="s">
        <v>11</v>
      </c>
      <c r="C10" s="29">
        <v>7</v>
      </c>
    </row>
    <row r="11" spans="1:3" x14ac:dyDescent="0.3">
      <c r="A11">
        <v>10</v>
      </c>
      <c r="B11" t="s">
        <v>12</v>
      </c>
      <c r="C11" s="29">
        <v>5</v>
      </c>
    </row>
    <row r="12" spans="1:3" x14ac:dyDescent="0.3">
      <c r="A12">
        <v>11</v>
      </c>
      <c r="B12" t="s">
        <v>13</v>
      </c>
      <c r="C12" s="29">
        <v>69</v>
      </c>
    </row>
    <row r="13" spans="1:3" x14ac:dyDescent="0.3">
      <c r="A13">
        <v>12</v>
      </c>
      <c r="B13" t="s">
        <v>14</v>
      </c>
      <c r="C13" s="29">
        <v>26</v>
      </c>
    </row>
    <row r="14" spans="1:3" x14ac:dyDescent="0.3">
      <c r="A14">
        <v>13</v>
      </c>
      <c r="B14" t="s">
        <v>15</v>
      </c>
      <c r="C14" s="29">
        <v>46</v>
      </c>
    </row>
    <row r="15" spans="1:3" x14ac:dyDescent="0.3">
      <c r="A15">
        <v>14</v>
      </c>
      <c r="B15" t="s">
        <v>16</v>
      </c>
      <c r="C15" s="29">
        <v>27</v>
      </c>
    </row>
    <row r="16" spans="1:3" x14ac:dyDescent="0.3">
      <c r="A16">
        <v>15</v>
      </c>
      <c r="B16" t="s">
        <v>17</v>
      </c>
      <c r="C16" s="29">
        <v>90</v>
      </c>
    </row>
    <row r="17" spans="1:3" x14ac:dyDescent="0.3">
      <c r="A17">
        <v>16</v>
      </c>
      <c r="B17" t="s">
        <v>18</v>
      </c>
      <c r="C17" s="29">
        <v>64</v>
      </c>
    </row>
    <row r="18" spans="1:3" x14ac:dyDescent="0.3">
      <c r="A18">
        <v>17</v>
      </c>
      <c r="B18" t="s">
        <v>19</v>
      </c>
      <c r="C18" s="29">
        <v>30</v>
      </c>
    </row>
    <row r="19" spans="1:3" x14ac:dyDescent="0.3">
      <c r="A19">
        <v>18</v>
      </c>
      <c r="B19" t="s">
        <v>20</v>
      </c>
      <c r="C19" s="29">
        <v>11</v>
      </c>
    </row>
    <row r="20" spans="1:3" x14ac:dyDescent="0.3">
      <c r="A20">
        <v>19</v>
      </c>
      <c r="B20" t="s">
        <v>21</v>
      </c>
      <c r="C20" s="29">
        <v>23</v>
      </c>
    </row>
    <row r="21" spans="1:3" x14ac:dyDescent="0.3">
      <c r="A21">
        <v>20</v>
      </c>
      <c r="B21" t="s">
        <v>22</v>
      </c>
      <c r="C21" s="29">
        <v>17</v>
      </c>
    </row>
    <row r="22" spans="1:3" x14ac:dyDescent="0.3">
      <c r="A22">
        <v>21</v>
      </c>
      <c r="B22" t="s">
        <v>23</v>
      </c>
      <c r="C22" s="29">
        <v>27</v>
      </c>
    </row>
    <row r="23" spans="1:3" x14ac:dyDescent="0.3">
      <c r="A23">
        <v>22</v>
      </c>
      <c r="B23" t="s">
        <v>24</v>
      </c>
      <c r="C23" s="29">
        <v>24</v>
      </c>
    </row>
    <row r="24" spans="1:3" x14ac:dyDescent="0.3">
      <c r="A24">
        <v>23</v>
      </c>
      <c r="B24" t="s">
        <v>25</v>
      </c>
      <c r="C24" s="29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951AB-A916-4397-AA75-837BDA15EBEB}">
  <dimension ref="A1:O637"/>
  <sheetViews>
    <sheetView zoomScale="85" zoomScaleNormal="85" workbookViewId="0">
      <pane ySplit="1" topLeftCell="A501" activePane="bottomLeft" state="frozen"/>
      <selection pane="bottomLeft" activeCell="A512" sqref="A512:B512"/>
    </sheetView>
  </sheetViews>
  <sheetFormatPr defaultColWidth="20.33203125" defaultRowHeight="15" customHeight="1" x14ac:dyDescent="0.3"/>
  <cols>
    <col min="2" max="2" width="34.109375" customWidth="1"/>
    <col min="10" max="10" width="20.33203125" style="29"/>
  </cols>
  <sheetData>
    <row r="1" spans="1:15" ht="27.6" x14ac:dyDescent="0.3">
      <c r="A1" s="59" t="s">
        <v>26</v>
      </c>
      <c r="B1" s="60" t="s">
        <v>27</v>
      </c>
      <c r="C1" s="60" t="s">
        <v>28</v>
      </c>
      <c r="D1" s="59" t="s">
        <v>29</v>
      </c>
      <c r="E1" s="59" t="s">
        <v>30</v>
      </c>
      <c r="F1" s="59" t="s">
        <v>31</v>
      </c>
      <c r="G1" s="59" t="s">
        <v>32</v>
      </c>
      <c r="H1" s="59" t="s">
        <v>33</v>
      </c>
      <c r="I1" s="61" t="s">
        <v>34</v>
      </c>
      <c r="J1" s="62" t="s">
        <v>35</v>
      </c>
      <c r="K1" s="43" t="s">
        <v>36</v>
      </c>
      <c r="L1" s="62" t="s">
        <v>37</v>
      </c>
      <c r="M1" s="63" t="s">
        <v>38</v>
      </c>
      <c r="N1" s="61" t="s">
        <v>39</v>
      </c>
      <c r="O1" s="64" t="s">
        <v>40</v>
      </c>
    </row>
    <row r="2" spans="1:15" ht="14.4" x14ac:dyDescent="0.3">
      <c r="A2" s="1">
        <v>46142</v>
      </c>
      <c r="B2" s="49" t="s">
        <v>4</v>
      </c>
      <c r="C2" s="4">
        <v>3</v>
      </c>
      <c r="D2" s="2">
        <f>VLOOKUP(B2,[1]lantai9!$B:$G,6,FALSE)</f>
        <v>35000</v>
      </c>
      <c r="E2" s="2">
        <f>VLOOKUP(B2,karyawan!B:D,3,FALSE)</f>
        <v>34000</v>
      </c>
      <c r="F2" s="2" t="str">
        <f>VLOOKUP(B2,karyawan!B:E,4,FALSE)</f>
        <v>Florida</v>
      </c>
      <c r="G2" s="3">
        <v>5</v>
      </c>
      <c r="H2" s="3"/>
      <c r="I2" s="4">
        <v>5</v>
      </c>
      <c r="J2" s="5">
        <f t="shared" ref="J2:J65" si="0">IF($G2-$M2&lt;0,0,$G2-$M2)</f>
        <v>5</v>
      </c>
      <c r="K2" s="4">
        <v>0</v>
      </c>
      <c r="L2" s="4">
        <v>0</v>
      </c>
      <c r="M2" s="4">
        <v>0</v>
      </c>
      <c r="N2" s="4">
        <f t="shared" ref="N2:N65" si="1">MAX($I2-$M2,0)</f>
        <v>5</v>
      </c>
      <c r="O2" s="65">
        <f t="shared" ref="O2:O65" si="2">N2*D2</f>
        <v>175000</v>
      </c>
    </row>
    <row r="3" spans="1:15" ht="14.4" x14ac:dyDescent="0.3">
      <c r="A3" s="1">
        <v>46142</v>
      </c>
      <c r="B3" s="49" t="s">
        <v>13</v>
      </c>
      <c r="C3" s="4">
        <v>3</v>
      </c>
      <c r="D3" s="2">
        <f>VLOOKUP(B3,[1]lantai9!$B:$G,6,FALSE)</f>
        <v>23000</v>
      </c>
      <c r="E3" s="2">
        <f>VLOOKUP(B3,karyawan!B:D,3,FALSE)</f>
        <v>22000</v>
      </c>
      <c r="F3" s="2" t="str">
        <f>VLOOKUP(B3,karyawan!B:E,4,FALSE)</f>
        <v>Yohannes</v>
      </c>
      <c r="G3" s="3">
        <v>6</v>
      </c>
      <c r="H3" s="3"/>
      <c r="I3" s="4">
        <v>6</v>
      </c>
      <c r="J3" s="5">
        <f t="shared" si="0"/>
        <v>6</v>
      </c>
      <c r="K3" s="4">
        <v>0</v>
      </c>
      <c r="L3" s="4">
        <v>0</v>
      </c>
      <c r="M3" s="4">
        <v>0</v>
      </c>
      <c r="N3" s="4">
        <f t="shared" si="1"/>
        <v>6</v>
      </c>
      <c r="O3" s="65">
        <f t="shared" si="2"/>
        <v>138000</v>
      </c>
    </row>
    <row r="4" spans="1:15" ht="14.4" x14ac:dyDescent="0.3">
      <c r="A4" s="1">
        <v>46142</v>
      </c>
      <c r="B4" s="49" t="s">
        <v>12</v>
      </c>
      <c r="C4" s="4">
        <v>3</v>
      </c>
      <c r="D4" s="2">
        <f>VLOOKUP(B4,[1]lantai9!$B:$G,6,FALSE)</f>
        <v>21000</v>
      </c>
      <c r="E4" s="2">
        <f>VLOOKUP(B4,karyawan!B:D,3,FALSE)</f>
        <v>20000</v>
      </c>
      <c r="F4" s="2" t="str">
        <f>VLOOKUP(B4,karyawan!B:E,4,FALSE)</f>
        <v>Damaz</v>
      </c>
      <c r="G4" s="3">
        <v>2</v>
      </c>
      <c r="H4" s="3"/>
      <c r="I4" s="4">
        <v>2</v>
      </c>
      <c r="J4" s="5">
        <f t="shared" si="0"/>
        <v>0</v>
      </c>
      <c r="K4" s="4">
        <v>0</v>
      </c>
      <c r="L4" s="4">
        <v>2</v>
      </c>
      <c r="M4" s="4">
        <v>2</v>
      </c>
      <c r="N4" s="4">
        <f t="shared" si="1"/>
        <v>0</v>
      </c>
      <c r="O4" s="65">
        <f t="shared" si="2"/>
        <v>0</v>
      </c>
    </row>
    <row r="5" spans="1:15" ht="14.4" x14ac:dyDescent="0.3">
      <c r="A5" s="1">
        <v>46142</v>
      </c>
      <c r="B5" s="49" t="s">
        <v>11</v>
      </c>
      <c r="C5" s="4">
        <v>3</v>
      </c>
      <c r="D5" s="2">
        <f>VLOOKUP(B5,[1]lantai9!$B:$G,6,FALSE)</f>
        <v>36000</v>
      </c>
      <c r="E5" s="2">
        <f>VLOOKUP(B5,karyawan!B:D,3,FALSE)</f>
        <v>35000</v>
      </c>
      <c r="F5" s="2" t="str">
        <f>VLOOKUP(B5,karyawan!B:E,4,FALSE)</f>
        <v>Damaz</v>
      </c>
      <c r="G5" s="3">
        <v>3</v>
      </c>
      <c r="H5" s="3"/>
      <c r="I5" s="4">
        <v>3</v>
      </c>
      <c r="J5" s="5">
        <f t="shared" si="0"/>
        <v>0</v>
      </c>
      <c r="K5" s="4">
        <v>0</v>
      </c>
      <c r="L5" s="4">
        <v>3</v>
      </c>
      <c r="M5" s="4">
        <v>3</v>
      </c>
      <c r="N5" s="4">
        <f t="shared" si="1"/>
        <v>0</v>
      </c>
      <c r="O5" s="65">
        <f t="shared" si="2"/>
        <v>0</v>
      </c>
    </row>
    <row r="6" spans="1:15" ht="14.4" x14ac:dyDescent="0.3">
      <c r="A6" s="1">
        <v>46142</v>
      </c>
      <c r="B6" s="49" t="s">
        <v>14</v>
      </c>
      <c r="C6" s="4">
        <v>3</v>
      </c>
      <c r="D6" s="2">
        <f>VLOOKUP(B6,[1]lantai9!$B:$G,6,FALSE)</f>
        <v>23000</v>
      </c>
      <c r="E6" s="2">
        <f>VLOOKUP(B6,karyawan!B:D,3,FALSE)</f>
        <v>22000</v>
      </c>
      <c r="F6" s="2" t="str">
        <f>VLOOKUP(B6,karyawan!B:E,4,FALSE)</f>
        <v>Vale</v>
      </c>
      <c r="G6" s="3">
        <v>5</v>
      </c>
      <c r="H6" s="3"/>
      <c r="I6" s="3">
        <v>5</v>
      </c>
      <c r="J6" s="5">
        <f t="shared" si="0"/>
        <v>3</v>
      </c>
      <c r="K6" s="41">
        <v>0</v>
      </c>
      <c r="L6" s="4">
        <v>2</v>
      </c>
      <c r="M6" s="4">
        <v>2</v>
      </c>
      <c r="N6" s="4">
        <f t="shared" si="1"/>
        <v>3</v>
      </c>
      <c r="O6" s="65">
        <f t="shared" si="2"/>
        <v>69000</v>
      </c>
    </row>
    <row r="7" spans="1:15" ht="14.4" x14ac:dyDescent="0.3">
      <c r="A7" s="1">
        <v>46142</v>
      </c>
      <c r="B7" s="49" t="s">
        <v>7</v>
      </c>
      <c r="C7" s="4">
        <v>3</v>
      </c>
      <c r="D7" s="2">
        <f>VLOOKUP(B7,[1]lantai9!$B:$G,6,FALSE)</f>
        <v>15000</v>
      </c>
      <c r="E7" s="2">
        <f>VLOOKUP(B7,karyawan!B:D,3,FALSE)</f>
        <v>14000</v>
      </c>
      <c r="F7" s="2" t="str">
        <f>VLOOKUP(B7,karyawan!B:E,4,FALSE)</f>
        <v>Desy</v>
      </c>
      <c r="G7" s="3">
        <v>6</v>
      </c>
      <c r="H7" s="3"/>
      <c r="I7" s="4">
        <v>6</v>
      </c>
      <c r="J7" s="5">
        <f t="shared" si="0"/>
        <v>1</v>
      </c>
      <c r="K7" s="4">
        <v>0</v>
      </c>
      <c r="L7" s="4">
        <v>4</v>
      </c>
      <c r="M7" s="4">
        <v>5</v>
      </c>
      <c r="N7" s="4">
        <f t="shared" si="1"/>
        <v>1</v>
      </c>
      <c r="O7" s="65">
        <f t="shared" si="2"/>
        <v>15000</v>
      </c>
    </row>
    <row r="8" spans="1:15" ht="14.4" x14ac:dyDescent="0.3">
      <c r="A8" s="1">
        <v>46142</v>
      </c>
      <c r="B8" s="49" t="s">
        <v>16</v>
      </c>
      <c r="C8" s="4">
        <v>3</v>
      </c>
      <c r="D8" s="2">
        <f>VLOOKUP(B8,[1]lantai9!$B:$G,6,FALSE)</f>
        <v>18000</v>
      </c>
      <c r="E8" s="2">
        <f>VLOOKUP(B8,karyawan!B:D,3,FALSE)</f>
        <v>17000</v>
      </c>
      <c r="F8" s="2" t="str">
        <f>VLOOKUP(B8,karyawan!B:E,4,FALSE)</f>
        <v>Geby</v>
      </c>
      <c r="G8" s="3">
        <v>6</v>
      </c>
      <c r="H8" s="3"/>
      <c r="I8" s="4">
        <v>6</v>
      </c>
      <c r="J8" s="5">
        <f t="shared" si="0"/>
        <v>2</v>
      </c>
      <c r="K8" s="4">
        <v>0</v>
      </c>
      <c r="L8" s="4">
        <v>4</v>
      </c>
      <c r="M8" s="4">
        <v>4</v>
      </c>
      <c r="N8" s="4">
        <f t="shared" si="1"/>
        <v>2</v>
      </c>
      <c r="O8" s="65">
        <f t="shared" si="2"/>
        <v>36000</v>
      </c>
    </row>
    <row r="9" spans="1:15" ht="14.4" x14ac:dyDescent="0.3">
      <c r="A9" s="1">
        <v>46142</v>
      </c>
      <c r="B9" s="49" t="s">
        <v>6</v>
      </c>
      <c r="C9" s="4">
        <v>3</v>
      </c>
      <c r="D9" s="2">
        <f>VLOOKUP(B9,[1]lantai9!$B:$G,6,FALSE)</f>
        <v>21000</v>
      </c>
      <c r="E9" s="2">
        <f>VLOOKUP(B9,karyawan!B:D,3,FALSE)</f>
        <v>20000</v>
      </c>
      <c r="F9" s="2" t="str">
        <f>VLOOKUP(B9,karyawan!B:E,4,FALSE)</f>
        <v>Geby</v>
      </c>
      <c r="G9" s="3">
        <v>2</v>
      </c>
      <c r="H9" s="3"/>
      <c r="I9" s="4">
        <v>2</v>
      </c>
      <c r="J9" s="5">
        <f t="shared" si="0"/>
        <v>0</v>
      </c>
      <c r="K9" s="4">
        <v>0</v>
      </c>
      <c r="L9" s="4">
        <v>2</v>
      </c>
      <c r="M9" s="4">
        <v>2</v>
      </c>
      <c r="N9" s="4">
        <f t="shared" si="1"/>
        <v>0</v>
      </c>
      <c r="O9" s="65">
        <f t="shared" si="2"/>
        <v>0</v>
      </c>
    </row>
    <row r="10" spans="1:15" ht="14.4" x14ac:dyDescent="0.3">
      <c r="A10" s="1">
        <v>46142</v>
      </c>
      <c r="B10" s="49" t="s">
        <v>20</v>
      </c>
      <c r="C10" s="4">
        <v>3</v>
      </c>
      <c r="D10" s="2">
        <f>VLOOKUP(B10,[1]lantai9!$B:$G,6,FALSE)</f>
        <v>35000</v>
      </c>
      <c r="E10" s="2">
        <f>VLOOKUP(B10,karyawan!B:D,3,FALSE)</f>
        <v>34000</v>
      </c>
      <c r="F10" s="2" t="str">
        <f>VLOOKUP(B10,karyawan!B:E,4,FALSE)</f>
        <v>Sherly</v>
      </c>
      <c r="G10" s="3">
        <v>2</v>
      </c>
      <c r="H10" s="3"/>
      <c r="I10" s="4">
        <v>2</v>
      </c>
      <c r="J10" s="5">
        <f t="shared" si="0"/>
        <v>2</v>
      </c>
      <c r="K10" s="4">
        <v>0</v>
      </c>
      <c r="L10" s="3">
        <v>0</v>
      </c>
      <c r="M10" s="4">
        <v>0</v>
      </c>
      <c r="N10" s="4">
        <f t="shared" si="1"/>
        <v>2</v>
      </c>
      <c r="O10" s="65">
        <f t="shared" si="2"/>
        <v>70000</v>
      </c>
    </row>
    <row r="11" spans="1:15" ht="14.4" x14ac:dyDescent="0.3">
      <c r="A11" s="1">
        <v>46142</v>
      </c>
      <c r="B11" s="49" t="s">
        <v>21</v>
      </c>
      <c r="C11" s="4">
        <v>3</v>
      </c>
      <c r="D11" s="2">
        <f>VLOOKUP(B11,[1]lantai9!$B:$G,6,FALSE)</f>
        <v>40000</v>
      </c>
      <c r="E11" s="2">
        <f>VLOOKUP(B11,karyawan!B:D,3,FALSE)</f>
        <v>39000</v>
      </c>
      <c r="F11" s="2" t="str">
        <f>VLOOKUP(B11,karyawan!B:E,4,FALSE)</f>
        <v>Sherly</v>
      </c>
      <c r="G11" s="3">
        <v>4</v>
      </c>
      <c r="H11" s="3"/>
      <c r="I11" s="3">
        <v>4</v>
      </c>
      <c r="J11" s="5">
        <f t="shared" si="0"/>
        <v>3</v>
      </c>
      <c r="K11" s="41">
        <v>0</v>
      </c>
      <c r="L11" s="4">
        <v>1</v>
      </c>
      <c r="M11" s="4">
        <v>1</v>
      </c>
      <c r="N11" s="4">
        <f t="shared" si="1"/>
        <v>3</v>
      </c>
      <c r="O11" s="65">
        <f t="shared" si="2"/>
        <v>120000</v>
      </c>
    </row>
    <row r="12" spans="1:15" ht="14.4" x14ac:dyDescent="0.3">
      <c r="A12" s="1">
        <v>46142</v>
      </c>
      <c r="B12" s="49" t="s">
        <v>19</v>
      </c>
      <c r="C12" s="3">
        <v>3</v>
      </c>
      <c r="D12" s="2">
        <f>VLOOKUP(B12,[1]lantai9!$B:$G,6,FALSE)</f>
        <v>2500</v>
      </c>
      <c r="E12" s="2">
        <f>VLOOKUP(B12,karyawan!B:D,3,FALSE)</f>
        <v>1480</v>
      </c>
      <c r="F12" s="2" t="str">
        <f>VLOOKUP(B12,karyawan!B:E,4,FALSE)</f>
        <v>Compliance</v>
      </c>
      <c r="G12" s="3">
        <v>12</v>
      </c>
      <c r="H12" s="3"/>
      <c r="I12" s="4">
        <v>12</v>
      </c>
      <c r="J12" s="5">
        <f t="shared" si="0"/>
        <v>0</v>
      </c>
      <c r="K12" s="4">
        <v>0</v>
      </c>
      <c r="L12" s="4">
        <v>0</v>
      </c>
      <c r="M12" s="4">
        <v>12</v>
      </c>
      <c r="N12" s="4">
        <f t="shared" si="1"/>
        <v>0</v>
      </c>
      <c r="O12" s="65">
        <f t="shared" si="2"/>
        <v>0</v>
      </c>
    </row>
    <row r="13" spans="1:15" ht="14.4" x14ac:dyDescent="0.3">
      <c r="A13" s="1">
        <v>46142</v>
      </c>
      <c r="B13" s="49" t="s">
        <v>17</v>
      </c>
      <c r="C13" s="4">
        <v>3</v>
      </c>
      <c r="D13" s="2">
        <f>VLOOKUP(B13,[1]lantai9!$B:$G,6,FALSE)</f>
        <v>2000</v>
      </c>
      <c r="E13" s="2">
        <f>VLOOKUP(B13,karyawan!B:D,3,FALSE)</f>
        <v>1074</v>
      </c>
      <c r="F13" s="2" t="str">
        <f>VLOOKUP(B13,karyawan!B:E,4,FALSE)</f>
        <v>Compliance</v>
      </c>
      <c r="G13" s="3">
        <v>10</v>
      </c>
      <c r="H13" s="3"/>
      <c r="I13" s="4">
        <v>10</v>
      </c>
      <c r="J13" s="5">
        <f t="shared" si="0"/>
        <v>6</v>
      </c>
      <c r="K13" s="4">
        <v>0</v>
      </c>
      <c r="L13" s="4">
        <v>9</v>
      </c>
      <c r="M13" s="4">
        <v>4</v>
      </c>
      <c r="N13" s="4">
        <f t="shared" si="1"/>
        <v>6</v>
      </c>
      <c r="O13" s="65">
        <f t="shared" si="2"/>
        <v>12000</v>
      </c>
    </row>
    <row r="14" spans="1:15" ht="14.4" x14ac:dyDescent="0.3">
      <c r="A14" s="1">
        <v>46142</v>
      </c>
      <c r="B14" s="49" t="s">
        <v>5</v>
      </c>
      <c r="C14" s="4">
        <v>3</v>
      </c>
      <c r="D14" s="2">
        <f>VLOOKUP(B14,[1]lantai9!$B:$G,6,FALSE)</f>
        <v>2500</v>
      </c>
      <c r="E14" s="2">
        <f>VLOOKUP(B14,karyawan!B:D,3,FALSE)</f>
        <v>1465</v>
      </c>
      <c r="F14" s="2" t="str">
        <f>VLOOKUP(B14,karyawan!B:E,4,FALSE)</f>
        <v>Compliance</v>
      </c>
      <c r="G14" s="3">
        <v>10</v>
      </c>
      <c r="H14" s="3"/>
      <c r="I14" s="4">
        <v>10</v>
      </c>
      <c r="J14" s="5">
        <f t="shared" si="0"/>
        <v>5</v>
      </c>
      <c r="K14" s="4">
        <v>0</v>
      </c>
      <c r="L14" s="4">
        <v>10</v>
      </c>
      <c r="M14" s="4">
        <v>5</v>
      </c>
      <c r="N14" s="4">
        <f t="shared" si="1"/>
        <v>5</v>
      </c>
      <c r="O14" s="65">
        <f t="shared" si="2"/>
        <v>12500</v>
      </c>
    </row>
    <row r="15" spans="1:15" ht="14.4" x14ac:dyDescent="0.3">
      <c r="A15" s="1">
        <v>46142</v>
      </c>
      <c r="B15" s="49" t="s">
        <v>3</v>
      </c>
      <c r="C15" s="4">
        <v>3</v>
      </c>
      <c r="D15" s="2">
        <f>VLOOKUP(B15,[1]lantai9!$B:$G,6,FALSE)</f>
        <v>10000</v>
      </c>
      <c r="E15" s="2">
        <f>VLOOKUP(B15,karyawan!B:D,3,FALSE)</f>
        <v>9200</v>
      </c>
      <c r="F15" s="2" t="str">
        <f>VLOOKUP(B15,karyawan!B:E,4,FALSE)</f>
        <v>Compliance</v>
      </c>
      <c r="G15" s="3">
        <v>15</v>
      </c>
      <c r="H15" s="3"/>
      <c r="I15" s="4">
        <v>15</v>
      </c>
      <c r="J15" s="5">
        <f t="shared" si="0"/>
        <v>0</v>
      </c>
      <c r="K15" s="4">
        <v>0</v>
      </c>
      <c r="L15" s="4">
        <v>0</v>
      </c>
      <c r="M15" s="4">
        <v>15</v>
      </c>
      <c r="N15" s="4">
        <f t="shared" si="1"/>
        <v>0</v>
      </c>
      <c r="O15" s="65">
        <f t="shared" si="2"/>
        <v>0</v>
      </c>
    </row>
    <row r="16" spans="1:15" ht="14.4" x14ac:dyDescent="0.3">
      <c r="A16" s="1">
        <v>46142</v>
      </c>
      <c r="B16" s="49" t="s">
        <v>18</v>
      </c>
      <c r="C16" s="4">
        <v>3</v>
      </c>
      <c r="D16" s="2">
        <f>VLOOKUP(B16,[1]lantai9!$B:$G,6,FALSE)</f>
        <v>15000</v>
      </c>
      <c r="E16" s="2">
        <f>VLOOKUP(B16,karyawan!B:D,3,FALSE)</f>
        <v>13807</v>
      </c>
      <c r="F16" s="2" t="str">
        <f>VLOOKUP(B16,karyawan!B:E,4,FALSE)</f>
        <v>Compliance</v>
      </c>
      <c r="G16" s="3">
        <v>10</v>
      </c>
      <c r="H16" s="3"/>
      <c r="I16" s="4">
        <v>10</v>
      </c>
      <c r="J16" s="5">
        <f t="shared" si="0"/>
        <v>2</v>
      </c>
      <c r="K16" s="4">
        <v>0</v>
      </c>
      <c r="L16" s="4">
        <v>8</v>
      </c>
      <c r="M16" s="4">
        <v>8</v>
      </c>
      <c r="N16" s="4">
        <f t="shared" si="1"/>
        <v>2</v>
      </c>
      <c r="O16" s="65">
        <f t="shared" si="2"/>
        <v>30000</v>
      </c>
    </row>
    <row r="17" spans="1:15" ht="14.4" x14ac:dyDescent="0.3">
      <c r="A17" s="1">
        <v>46142</v>
      </c>
      <c r="B17" s="49" t="s">
        <v>10</v>
      </c>
      <c r="C17" s="4">
        <v>3</v>
      </c>
      <c r="D17" s="2">
        <f>VLOOKUP(B17,[1]lantai9!$B:$G,6,FALSE)</f>
        <v>23000</v>
      </c>
      <c r="E17" s="2">
        <f>VLOOKUP(B17,karyawan!B:D,3,FALSE)</f>
        <v>21760</v>
      </c>
      <c r="F17" s="2" t="str">
        <f>VLOOKUP(B17,karyawan!B:E,4,FALSE)</f>
        <v>Compliance</v>
      </c>
      <c r="G17" s="3">
        <v>7</v>
      </c>
      <c r="H17" s="3"/>
      <c r="I17" s="4">
        <v>7</v>
      </c>
      <c r="J17" s="5">
        <f t="shared" si="0"/>
        <v>1</v>
      </c>
      <c r="K17" s="4">
        <v>0</v>
      </c>
      <c r="L17" s="4">
        <v>6</v>
      </c>
      <c r="M17" s="4">
        <v>6</v>
      </c>
      <c r="N17" s="4">
        <f t="shared" si="1"/>
        <v>1</v>
      </c>
      <c r="O17" s="65">
        <f t="shared" si="2"/>
        <v>23000</v>
      </c>
    </row>
    <row r="18" spans="1:15" ht="14.4" x14ac:dyDescent="0.3">
      <c r="A18" s="1">
        <v>46142</v>
      </c>
      <c r="B18" s="49" t="s">
        <v>4</v>
      </c>
      <c r="C18" s="4">
        <v>8</v>
      </c>
      <c r="D18" s="2">
        <f>VLOOKUP(B18,[1]lantai9!$B:$G,6,FALSE)</f>
        <v>35000</v>
      </c>
      <c r="E18" s="2">
        <f>VLOOKUP(B18,karyawan!B:D,3,FALSE)</f>
        <v>34000</v>
      </c>
      <c r="F18" s="2" t="str">
        <f>VLOOKUP(B18,karyawan!B:E,4,FALSE)</f>
        <v>Florida</v>
      </c>
      <c r="G18" s="3">
        <v>5</v>
      </c>
      <c r="H18" s="3"/>
      <c r="I18" s="4">
        <v>5</v>
      </c>
      <c r="J18" s="5">
        <f t="shared" si="0"/>
        <v>1</v>
      </c>
      <c r="K18" s="4">
        <v>0</v>
      </c>
      <c r="L18" s="4">
        <v>5</v>
      </c>
      <c r="M18" s="4">
        <v>4</v>
      </c>
      <c r="N18" s="4">
        <f t="shared" si="1"/>
        <v>1</v>
      </c>
      <c r="O18" s="65">
        <f t="shared" si="2"/>
        <v>35000</v>
      </c>
    </row>
    <row r="19" spans="1:15" ht="14.4" x14ac:dyDescent="0.3">
      <c r="A19" s="1">
        <v>46142</v>
      </c>
      <c r="B19" s="49" t="s">
        <v>13</v>
      </c>
      <c r="C19" s="4">
        <v>8</v>
      </c>
      <c r="D19" s="2">
        <f>VLOOKUP(B19,[1]lantai9!$B:$G,6,FALSE)</f>
        <v>23000</v>
      </c>
      <c r="E19" s="2">
        <f>VLOOKUP(B19,karyawan!B:D,3,FALSE)</f>
        <v>22000</v>
      </c>
      <c r="F19" s="2" t="str">
        <f>VLOOKUP(B19,karyawan!B:E,4,FALSE)</f>
        <v>Yohannes</v>
      </c>
      <c r="G19" s="3">
        <v>6</v>
      </c>
      <c r="H19" s="3"/>
      <c r="I19" s="4">
        <v>6</v>
      </c>
      <c r="J19" s="5">
        <f t="shared" si="0"/>
        <v>6</v>
      </c>
      <c r="K19" s="4">
        <v>0</v>
      </c>
      <c r="L19" s="4">
        <v>0</v>
      </c>
      <c r="M19" s="4">
        <v>0</v>
      </c>
      <c r="N19" s="4">
        <f t="shared" si="1"/>
        <v>6</v>
      </c>
      <c r="O19" s="65">
        <f t="shared" si="2"/>
        <v>138000</v>
      </c>
    </row>
    <row r="20" spans="1:15" ht="14.4" x14ac:dyDescent="0.3">
      <c r="A20" s="1">
        <v>46142</v>
      </c>
      <c r="B20" s="49" t="s">
        <v>12</v>
      </c>
      <c r="C20" s="4">
        <v>8</v>
      </c>
      <c r="D20" s="2">
        <f>VLOOKUP(B20,[1]lantai9!$B:$G,6,FALSE)</f>
        <v>21000</v>
      </c>
      <c r="E20" s="2">
        <f>VLOOKUP(B20,karyawan!B:D,3,FALSE)</f>
        <v>20000</v>
      </c>
      <c r="F20" s="2" t="str">
        <f>VLOOKUP(B20,karyawan!B:E,4,FALSE)</f>
        <v>Damaz</v>
      </c>
      <c r="G20" s="3">
        <v>2</v>
      </c>
      <c r="H20" s="3"/>
      <c r="I20" s="4">
        <v>2</v>
      </c>
      <c r="J20" s="5">
        <f t="shared" si="0"/>
        <v>1</v>
      </c>
      <c r="K20" s="4">
        <v>0</v>
      </c>
      <c r="L20" s="4">
        <v>1</v>
      </c>
      <c r="M20" s="4">
        <v>1</v>
      </c>
      <c r="N20" s="4">
        <f t="shared" si="1"/>
        <v>1</v>
      </c>
      <c r="O20" s="65">
        <f t="shared" si="2"/>
        <v>21000</v>
      </c>
    </row>
    <row r="21" spans="1:15" ht="14.4" x14ac:dyDescent="0.3">
      <c r="A21" s="1">
        <v>46142</v>
      </c>
      <c r="B21" s="49" t="s">
        <v>11</v>
      </c>
      <c r="C21" s="4">
        <v>8</v>
      </c>
      <c r="D21" s="2">
        <f>VLOOKUP(B21,[1]lantai9!$B:$G,6,FALSE)</f>
        <v>36000</v>
      </c>
      <c r="E21" s="2">
        <f>VLOOKUP(B21,karyawan!B:D,3,FALSE)</f>
        <v>35000</v>
      </c>
      <c r="F21" s="2" t="str">
        <f>VLOOKUP(B21,karyawan!B:E,4,FALSE)</f>
        <v>Damaz</v>
      </c>
      <c r="G21" s="3">
        <v>3</v>
      </c>
      <c r="H21" s="3"/>
      <c r="I21" s="4">
        <v>3</v>
      </c>
      <c r="J21" s="5">
        <f t="shared" si="0"/>
        <v>1</v>
      </c>
      <c r="K21" s="4">
        <v>0</v>
      </c>
      <c r="L21" s="4">
        <v>3</v>
      </c>
      <c r="M21" s="4">
        <v>2</v>
      </c>
      <c r="N21" s="4">
        <f t="shared" si="1"/>
        <v>1</v>
      </c>
      <c r="O21" s="65">
        <f t="shared" si="2"/>
        <v>36000</v>
      </c>
    </row>
    <row r="22" spans="1:15" ht="14.4" x14ac:dyDescent="0.3">
      <c r="A22" s="1">
        <v>46142</v>
      </c>
      <c r="B22" s="49" t="s">
        <v>14</v>
      </c>
      <c r="C22" s="4">
        <v>8</v>
      </c>
      <c r="D22" s="2">
        <f>VLOOKUP(B22,[1]lantai9!$B:$G,6,FALSE)</f>
        <v>23000</v>
      </c>
      <c r="E22" s="2">
        <f>VLOOKUP(B22,karyawan!B:D,3,FALSE)</f>
        <v>22000</v>
      </c>
      <c r="F22" s="2" t="str">
        <f>VLOOKUP(B22,karyawan!B:E,4,FALSE)</f>
        <v>Vale</v>
      </c>
      <c r="G22" s="3">
        <v>5</v>
      </c>
      <c r="H22" s="3"/>
      <c r="I22" s="4">
        <v>5</v>
      </c>
      <c r="J22" s="5">
        <f t="shared" si="0"/>
        <v>5</v>
      </c>
      <c r="K22" s="4">
        <v>0</v>
      </c>
      <c r="L22" s="4">
        <v>1</v>
      </c>
      <c r="M22" s="4">
        <v>0</v>
      </c>
      <c r="N22" s="4">
        <f t="shared" si="1"/>
        <v>5</v>
      </c>
      <c r="O22" s="65">
        <f t="shared" si="2"/>
        <v>115000</v>
      </c>
    </row>
    <row r="23" spans="1:15" ht="14.4" x14ac:dyDescent="0.3">
      <c r="A23" s="1">
        <v>46142</v>
      </c>
      <c r="B23" s="49" t="s">
        <v>7</v>
      </c>
      <c r="C23" s="4">
        <v>8</v>
      </c>
      <c r="D23" s="2">
        <f>VLOOKUP(B23,[1]lantai9!$B:$G,6,FALSE)</f>
        <v>15000</v>
      </c>
      <c r="E23" s="2">
        <f>VLOOKUP(B23,karyawan!B:D,3,FALSE)</f>
        <v>14000</v>
      </c>
      <c r="F23" s="2" t="str">
        <f>VLOOKUP(B23,karyawan!B:E,4,FALSE)</f>
        <v>Desy</v>
      </c>
      <c r="G23" s="3">
        <v>6</v>
      </c>
      <c r="H23" s="3"/>
      <c r="I23" s="4">
        <v>6</v>
      </c>
      <c r="J23" s="5">
        <f t="shared" si="0"/>
        <v>4</v>
      </c>
      <c r="K23" s="4">
        <v>0</v>
      </c>
      <c r="L23" s="4">
        <v>4</v>
      </c>
      <c r="M23" s="4">
        <v>2</v>
      </c>
      <c r="N23" s="4">
        <f t="shared" si="1"/>
        <v>4</v>
      </c>
      <c r="O23" s="65">
        <f t="shared" si="2"/>
        <v>60000</v>
      </c>
    </row>
    <row r="24" spans="1:15" ht="14.4" x14ac:dyDescent="0.3">
      <c r="A24" s="1">
        <v>46142</v>
      </c>
      <c r="B24" s="49" t="s">
        <v>16</v>
      </c>
      <c r="C24" s="4">
        <v>8</v>
      </c>
      <c r="D24" s="2">
        <f>VLOOKUP(B24,[1]lantai9!$B:$G,6,FALSE)</f>
        <v>18000</v>
      </c>
      <c r="E24" s="2">
        <f>VLOOKUP(B24,karyawan!B:D,3,FALSE)</f>
        <v>17000</v>
      </c>
      <c r="F24" s="2" t="str">
        <f>VLOOKUP(B24,karyawan!B:E,4,FALSE)</f>
        <v>Geby</v>
      </c>
      <c r="G24" s="3">
        <v>6</v>
      </c>
      <c r="H24" s="3"/>
      <c r="I24" s="4">
        <v>6</v>
      </c>
      <c r="J24" s="5">
        <f t="shared" si="0"/>
        <v>4</v>
      </c>
      <c r="K24" s="4">
        <v>0</v>
      </c>
      <c r="L24" s="4">
        <v>3</v>
      </c>
      <c r="M24" s="4">
        <v>2</v>
      </c>
      <c r="N24" s="4">
        <f t="shared" si="1"/>
        <v>4</v>
      </c>
      <c r="O24" s="65">
        <f t="shared" si="2"/>
        <v>72000</v>
      </c>
    </row>
    <row r="25" spans="1:15" ht="14.4" x14ac:dyDescent="0.3">
      <c r="A25" s="1">
        <v>46142</v>
      </c>
      <c r="B25" s="49" t="s">
        <v>6</v>
      </c>
      <c r="C25" s="4">
        <v>8</v>
      </c>
      <c r="D25" s="2">
        <f>VLOOKUP(B25,[1]lantai9!$B:$G,6,FALSE)</f>
        <v>21000</v>
      </c>
      <c r="E25" s="2">
        <f>VLOOKUP(B25,karyawan!B:D,3,FALSE)</f>
        <v>20000</v>
      </c>
      <c r="F25" s="2" t="str">
        <f>VLOOKUP(B25,karyawan!B:E,4,FALSE)</f>
        <v>Geby</v>
      </c>
      <c r="G25" s="3">
        <v>2</v>
      </c>
      <c r="H25" s="3"/>
      <c r="I25" s="4">
        <v>2</v>
      </c>
      <c r="J25" s="5">
        <f t="shared" si="0"/>
        <v>2</v>
      </c>
      <c r="K25" s="4">
        <v>0</v>
      </c>
      <c r="L25" s="4">
        <v>0</v>
      </c>
      <c r="M25" s="4">
        <v>0</v>
      </c>
      <c r="N25" s="4">
        <f t="shared" si="1"/>
        <v>2</v>
      </c>
      <c r="O25" s="65">
        <f t="shared" si="2"/>
        <v>42000</v>
      </c>
    </row>
    <row r="26" spans="1:15" ht="14.4" x14ac:dyDescent="0.3">
      <c r="A26" s="1">
        <v>46142</v>
      </c>
      <c r="B26" s="49" t="s">
        <v>20</v>
      </c>
      <c r="C26" s="4">
        <v>8</v>
      </c>
      <c r="D26" s="2">
        <f>VLOOKUP(B26,[1]lantai9!$B:$G,6,FALSE)</f>
        <v>35000</v>
      </c>
      <c r="E26" s="2">
        <f>VLOOKUP(B26,karyawan!B:D,3,FALSE)</f>
        <v>34000</v>
      </c>
      <c r="F26" s="2" t="str">
        <f>VLOOKUP(B26,karyawan!B:E,4,FALSE)</f>
        <v>Sherly</v>
      </c>
      <c r="G26" s="3">
        <v>2</v>
      </c>
      <c r="H26" s="3"/>
      <c r="I26" s="4">
        <v>2</v>
      </c>
      <c r="J26" s="5">
        <f t="shared" si="0"/>
        <v>1</v>
      </c>
      <c r="K26" s="4">
        <v>0</v>
      </c>
      <c r="L26" s="4">
        <v>1</v>
      </c>
      <c r="M26" s="4">
        <v>1</v>
      </c>
      <c r="N26" s="4">
        <f t="shared" si="1"/>
        <v>1</v>
      </c>
      <c r="O26" s="65">
        <f t="shared" si="2"/>
        <v>35000</v>
      </c>
    </row>
    <row r="27" spans="1:15" ht="14.4" x14ac:dyDescent="0.3">
      <c r="A27" s="1">
        <v>46142</v>
      </c>
      <c r="B27" s="49" t="s">
        <v>21</v>
      </c>
      <c r="C27" s="4">
        <v>8</v>
      </c>
      <c r="D27" s="2">
        <f>VLOOKUP(B27,[1]lantai9!$B:$G,6,FALSE)</f>
        <v>40000</v>
      </c>
      <c r="E27" s="2">
        <f>VLOOKUP(B27,karyawan!B:D,3,FALSE)</f>
        <v>39000</v>
      </c>
      <c r="F27" s="2" t="str">
        <f>VLOOKUP(B27,karyawan!B:E,4,FALSE)</f>
        <v>Sherly</v>
      </c>
      <c r="G27" s="3">
        <v>4</v>
      </c>
      <c r="H27" s="3"/>
      <c r="I27" s="3">
        <v>4</v>
      </c>
      <c r="J27" s="5">
        <f t="shared" si="0"/>
        <v>1</v>
      </c>
      <c r="K27" s="41">
        <v>0</v>
      </c>
      <c r="L27" s="4">
        <v>4</v>
      </c>
      <c r="M27" s="4">
        <v>3</v>
      </c>
      <c r="N27" s="4">
        <f t="shared" si="1"/>
        <v>1</v>
      </c>
      <c r="O27" s="65">
        <f t="shared" si="2"/>
        <v>40000</v>
      </c>
    </row>
    <row r="28" spans="1:15" ht="14.4" x14ac:dyDescent="0.3">
      <c r="A28" s="1">
        <v>46142</v>
      </c>
      <c r="B28" s="49" t="s">
        <v>19</v>
      </c>
      <c r="C28" s="4">
        <v>8</v>
      </c>
      <c r="D28" s="2">
        <f>VLOOKUP(B28,[1]lantai9!$B:$G,6,FALSE)</f>
        <v>2500</v>
      </c>
      <c r="E28" s="2">
        <f>VLOOKUP(B28,karyawan!B:D,3,FALSE)</f>
        <v>1480</v>
      </c>
      <c r="F28" s="2" t="str">
        <f>VLOOKUP(B28,karyawan!B:E,4,FALSE)</f>
        <v>Compliance</v>
      </c>
      <c r="G28" s="3">
        <v>12</v>
      </c>
      <c r="H28" s="3"/>
      <c r="I28" s="4">
        <v>12</v>
      </c>
      <c r="J28" s="5">
        <f t="shared" si="0"/>
        <v>2</v>
      </c>
      <c r="K28" s="4">
        <v>0</v>
      </c>
      <c r="L28" s="4">
        <v>10</v>
      </c>
      <c r="M28" s="4">
        <v>10</v>
      </c>
      <c r="N28" s="4">
        <f t="shared" si="1"/>
        <v>2</v>
      </c>
      <c r="O28" s="65">
        <f t="shared" si="2"/>
        <v>5000</v>
      </c>
    </row>
    <row r="29" spans="1:15" ht="14.4" x14ac:dyDescent="0.3">
      <c r="A29" s="1">
        <v>46142</v>
      </c>
      <c r="B29" s="49" t="s">
        <v>17</v>
      </c>
      <c r="C29" s="4">
        <v>8</v>
      </c>
      <c r="D29" s="2">
        <f>VLOOKUP(B29,[1]lantai9!$B:$G,6,FALSE)</f>
        <v>2000</v>
      </c>
      <c r="E29" s="2">
        <f>VLOOKUP(B29,karyawan!B:D,3,FALSE)</f>
        <v>1074</v>
      </c>
      <c r="F29" s="2" t="str">
        <f>VLOOKUP(B29,karyawan!B:E,4,FALSE)</f>
        <v>Compliance</v>
      </c>
      <c r="G29" s="3">
        <v>10</v>
      </c>
      <c r="H29" s="3"/>
      <c r="I29" s="4">
        <v>10</v>
      </c>
      <c r="J29" s="5">
        <f t="shared" si="0"/>
        <v>9</v>
      </c>
      <c r="K29" s="4">
        <v>0</v>
      </c>
      <c r="L29" s="4">
        <v>-5</v>
      </c>
      <c r="M29" s="4">
        <v>1</v>
      </c>
      <c r="N29" s="4">
        <f t="shared" si="1"/>
        <v>9</v>
      </c>
      <c r="O29" s="65">
        <f t="shared" si="2"/>
        <v>18000</v>
      </c>
    </row>
    <row r="30" spans="1:15" ht="14.4" x14ac:dyDescent="0.3">
      <c r="A30" s="1">
        <v>46142</v>
      </c>
      <c r="B30" s="49" t="s">
        <v>5</v>
      </c>
      <c r="C30" s="4">
        <v>8</v>
      </c>
      <c r="D30" s="2">
        <f>VLOOKUP(B30,[1]lantai9!$B:$G,6,FALSE)</f>
        <v>2500</v>
      </c>
      <c r="E30" s="2">
        <f>VLOOKUP(B30,karyawan!B:D,3,FALSE)</f>
        <v>1465</v>
      </c>
      <c r="F30" s="2" t="str">
        <f>VLOOKUP(B30,karyawan!B:E,4,FALSE)</f>
        <v>Compliance</v>
      </c>
      <c r="G30" s="3">
        <v>10</v>
      </c>
      <c r="H30" s="3"/>
      <c r="I30" s="4">
        <v>10</v>
      </c>
      <c r="J30" s="5">
        <f t="shared" si="0"/>
        <v>8</v>
      </c>
      <c r="K30" s="4">
        <v>0</v>
      </c>
      <c r="L30" s="4">
        <v>2</v>
      </c>
      <c r="M30" s="4">
        <v>2</v>
      </c>
      <c r="N30" s="4">
        <f t="shared" si="1"/>
        <v>8</v>
      </c>
      <c r="O30" s="65">
        <f t="shared" si="2"/>
        <v>20000</v>
      </c>
    </row>
    <row r="31" spans="1:15" ht="14.4" x14ac:dyDescent="0.3">
      <c r="A31" s="1">
        <v>46142</v>
      </c>
      <c r="B31" s="49" t="s">
        <v>3</v>
      </c>
      <c r="C31" s="4">
        <v>8</v>
      </c>
      <c r="D31" s="2">
        <f>VLOOKUP(B31,[1]lantai9!$B:$G,6,FALSE)</f>
        <v>10000</v>
      </c>
      <c r="E31" s="2">
        <f>VLOOKUP(B31,karyawan!B:D,3,FALSE)</f>
        <v>9200</v>
      </c>
      <c r="F31" s="2" t="str">
        <f>VLOOKUP(B31,karyawan!B:E,4,FALSE)</f>
        <v>Compliance</v>
      </c>
      <c r="G31" s="3">
        <v>15</v>
      </c>
      <c r="H31" s="3"/>
      <c r="I31" s="4">
        <v>15</v>
      </c>
      <c r="J31" s="5">
        <f t="shared" si="0"/>
        <v>0</v>
      </c>
      <c r="K31" s="4">
        <v>0</v>
      </c>
      <c r="L31" s="4">
        <v>0</v>
      </c>
      <c r="M31" s="3">
        <v>15</v>
      </c>
      <c r="N31" s="4">
        <f t="shared" si="1"/>
        <v>0</v>
      </c>
      <c r="O31" s="65">
        <f t="shared" si="2"/>
        <v>0</v>
      </c>
    </row>
    <row r="32" spans="1:15" ht="14.4" x14ac:dyDescent="0.3">
      <c r="A32" s="1">
        <v>46142</v>
      </c>
      <c r="B32" s="49" t="s">
        <v>18</v>
      </c>
      <c r="C32" s="4">
        <v>8</v>
      </c>
      <c r="D32" s="2">
        <f>VLOOKUP(B32,[1]lantai9!$B:$G,6,FALSE)</f>
        <v>15000</v>
      </c>
      <c r="E32" s="2">
        <f>VLOOKUP(B32,karyawan!B:D,3,FALSE)</f>
        <v>13807</v>
      </c>
      <c r="F32" s="2" t="str">
        <f>VLOOKUP(B32,karyawan!B:E,4,FALSE)</f>
        <v>Compliance</v>
      </c>
      <c r="G32" s="3">
        <v>10</v>
      </c>
      <c r="H32" s="3"/>
      <c r="I32" s="4">
        <v>10</v>
      </c>
      <c r="J32" s="5">
        <f t="shared" si="0"/>
        <v>9</v>
      </c>
      <c r="K32" s="4">
        <v>0</v>
      </c>
      <c r="L32" s="4">
        <v>2</v>
      </c>
      <c r="M32" s="4">
        <v>1</v>
      </c>
      <c r="N32" s="4">
        <f t="shared" si="1"/>
        <v>9</v>
      </c>
      <c r="O32" s="65">
        <f t="shared" si="2"/>
        <v>135000</v>
      </c>
    </row>
    <row r="33" spans="1:15" ht="14.4" x14ac:dyDescent="0.3">
      <c r="A33" s="1">
        <v>46142</v>
      </c>
      <c r="B33" s="49" t="s">
        <v>10</v>
      </c>
      <c r="C33" s="4">
        <v>8</v>
      </c>
      <c r="D33" s="2">
        <f>VLOOKUP(B33,[1]lantai9!$B:$G,6,FALSE)</f>
        <v>23000</v>
      </c>
      <c r="E33" s="2">
        <f>VLOOKUP(B33,karyawan!B:D,3,FALSE)</f>
        <v>21760</v>
      </c>
      <c r="F33" s="2" t="str">
        <f>VLOOKUP(B33,karyawan!B:E,4,FALSE)</f>
        <v>Compliance</v>
      </c>
      <c r="G33" s="3">
        <v>7</v>
      </c>
      <c r="H33" s="3"/>
      <c r="I33" s="4">
        <v>7</v>
      </c>
      <c r="J33" s="5">
        <f t="shared" si="0"/>
        <v>2</v>
      </c>
      <c r="K33" s="4">
        <v>0</v>
      </c>
      <c r="L33" s="4">
        <v>6</v>
      </c>
      <c r="M33" s="4">
        <v>5</v>
      </c>
      <c r="N33" s="4">
        <f t="shared" si="1"/>
        <v>2</v>
      </c>
      <c r="O33" s="65">
        <f t="shared" si="2"/>
        <v>46000</v>
      </c>
    </row>
    <row r="34" spans="1:15" ht="14.4" x14ac:dyDescent="0.3">
      <c r="A34" s="1">
        <v>46142</v>
      </c>
      <c r="B34" s="49" t="s">
        <v>4</v>
      </c>
      <c r="C34" s="4">
        <v>9</v>
      </c>
      <c r="D34" s="2">
        <f>VLOOKUP(B34,[1]lantai9!$B:$G,6,FALSE)</f>
        <v>35000</v>
      </c>
      <c r="E34" s="2">
        <f>VLOOKUP(B34,karyawan!B:D,3,FALSE)</f>
        <v>34000</v>
      </c>
      <c r="F34" s="2" t="str">
        <f>VLOOKUP(B34,karyawan!B:E,4,FALSE)</f>
        <v>Florida</v>
      </c>
      <c r="G34" s="3">
        <v>5</v>
      </c>
      <c r="H34" s="3"/>
      <c r="I34" s="4">
        <v>5</v>
      </c>
      <c r="J34" s="5">
        <f t="shared" si="0"/>
        <v>5</v>
      </c>
      <c r="K34" s="4">
        <v>0</v>
      </c>
      <c r="L34" s="4">
        <v>0</v>
      </c>
      <c r="M34" s="4">
        <v>0</v>
      </c>
      <c r="N34" s="4">
        <f t="shared" si="1"/>
        <v>5</v>
      </c>
      <c r="O34" s="65">
        <f t="shared" si="2"/>
        <v>175000</v>
      </c>
    </row>
    <row r="35" spans="1:15" ht="14.4" x14ac:dyDescent="0.3">
      <c r="A35" s="1">
        <v>46142</v>
      </c>
      <c r="B35" s="49" t="s">
        <v>13</v>
      </c>
      <c r="C35" s="4">
        <v>9</v>
      </c>
      <c r="D35" s="2">
        <f>VLOOKUP(B35,[1]lantai9!$B:$G,6,FALSE)</f>
        <v>23000</v>
      </c>
      <c r="E35" s="2">
        <f>VLOOKUP(B35,karyawan!B:D,3,FALSE)</f>
        <v>22000</v>
      </c>
      <c r="F35" s="2" t="str">
        <f>VLOOKUP(B35,karyawan!B:E,4,FALSE)</f>
        <v>Yohannes</v>
      </c>
      <c r="G35" s="3">
        <v>6</v>
      </c>
      <c r="H35" s="3"/>
      <c r="I35" s="4">
        <v>6</v>
      </c>
      <c r="J35" s="5">
        <f t="shared" si="0"/>
        <v>5</v>
      </c>
      <c r="K35" s="4">
        <v>0</v>
      </c>
      <c r="L35" s="4">
        <v>1</v>
      </c>
      <c r="M35" s="4">
        <v>1</v>
      </c>
      <c r="N35" s="4">
        <f t="shared" si="1"/>
        <v>5</v>
      </c>
      <c r="O35" s="65">
        <f t="shared" si="2"/>
        <v>115000</v>
      </c>
    </row>
    <row r="36" spans="1:15" ht="14.4" x14ac:dyDescent="0.3">
      <c r="A36" s="1">
        <v>46142</v>
      </c>
      <c r="B36" s="49" t="s">
        <v>12</v>
      </c>
      <c r="C36" s="4">
        <v>9</v>
      </c>
      <c r="D36" s="2">
        <f>VLOOKUP(B36,[1]lantai9!$B:$G,6,FALSE)</f>
        <v>21000</v>
      </c>
      <c r="E36" s="2">
        <f>VLOOKUP(B36,karyawan!B:D,3,FALSE)</f>
        <v>20000</v>
      </c>
      <c r="F36" s="2" t="str">
        <f>VLOOKUP(B36,karyawan!B:E,4,FALSE)</f>
        <v>Damaz</v>
      </c>
      <c r="G36" s="3">
        <v>2</v>
      </c>
      <c r="H36" s="3"/>
      <c r="I36" s="4">
        <v>2</v>
      </c>
      <c r="J36" s="5">
        <f t="shared" si="0"/>
        <v>0</v>
      </c>
      <c r="K36" s="4">
        <v>0</v>
      </c>
      <c r="L36" s="4">
        <v>2</v>
      </c>
      <c r="M36" s="4">
        <v>2</v>
      </c>
      <c r="N36" s="4">
        <f t="shared" si="1"/>
        <v>0</v>
      </c>
      <c r="O36" s="65">
        <f t="shared" si="2"/>
        <v>0</v>
      </c>
    </row>
    <row r="37" spans="1:15" ht="14.4" x14ac:dyDescent="0.3">
      <c r="A37" s="1">
        <v>46142</v>
      </c>
      <c r="B37" s="49" t="s">
        <v>11</v>
      </c>
      <c r="C37" s="4">
        <v>9</v>
      </c>
      <c r="D37" s="2">
        <f>VLOOKUP(B37,[1]lantai9!$B:$G,6,FALSE)</f>
        <v>36000</v>
      </c>
      <c r="E37" s="2">
        <f>VLOOKUP(B37,karyawan!B:D,3,FALSE)</f>
        <v>35000</v>
      </c>
      <c r="F37" s="2" t="str">
        <f>VLOOKUP(B37,karyawan!B:E,4,FALSE)</f>
        <v>Damaz</v>
      </c>
      <c r="G37" s="3">
        <v>3</v>
      </c>
      <c r="H37" s="3"/>
      <c r="I37" s="4">
        <v>3</v>
      </c>
      <c r="J37" s="5">
        <f t="shared" si="0"/>
        <v>2</v>
      </c>
      <c r="K37" s="4">
        <v>0</v>
      </c>
      <c r="L37" s="4">
        <v>1</v>
      </c>
      <c r="M37" s="4">
        <v>1</v>
      </c>
      <c r="N37" s="4">
        <f t="shared" si="1"/>
        <v>2</v>
      </c>
      <c r="O37" s="65">
        <f t="shared" si="2"/>
        <v>72000</v>
      </c>
    </row>
    <row r="38" spans="1:15" ht="14.4" x14ac:dyDescent="0.3">
      <c r="A38" s="1">
        <v>46142</v>
      </c>
      <c r="B38" s="49" t="s">
        <v>14</v>
      </c>
      <c r="C38" s="4">
        <v>9</v>
      </c>
      <c r="D38" s="2">
        <f>VLOOKUP(B38,[1]lantai9!$B:$G,6,FALSE)</f>
        <v>23000</v>
      </c>
      <c r="E38" s="2">
        <f>VLOOKUP(B38,karyawan!B:D,3,FALSE)</f>
        <v>22000</v>
      </c>
      <c r="F38" s="2" t="str">
        <f>VLOOKUP(B38,karyawan!B:E,4,FALSE)</f>
        <v>Vale</v>
      </c>
      <c r="G38" s="3">
        <v>5</v>
      </c>
      <c r="H38" s="3"/>
      <c r="I38" s="4">
        <v>5</v>
      </c>
      <c r="J38" s="5">
        <f t="shared" si="0"/>
        <v>5</v>
      </c>
      <c r="K38" s="4">
        <v>0</v>
      </c>
      <c r="L38" s="4">
        <v>0</v>
      </c>
      <c r="M38" s="4">
        <v>0</v>
      </c>
      <c r="N38" s="4">
        <f t="shared" si="1"/>
        <v>5</v>
      </c>
      <c r="O38" s="65">
        <f t="shared" si="2"/>
        <v>115000</v>
      </c>
    </row>
    <row r="39" spans="1:15" ht="14.4" x14ac:dyDescent="0.3">
      <c r="A39" s="1">
        <v>46142</v>
      </c>
      <c r="B39" s="49" t="s">
        <v>7</v>
      </c>
      <c r="C39" s="4">
        <v>9</v>
      </c>
      <c r="D39" s="2">
        <f>VLOOKUP(B39,[1]lantai9!$B:$G,6,FALSE)</f>
        <v>15000</v>
      </c>
      <c r="E39" s="2">
        <f>VLOOKUP(B39,karyawan!B:D,3,FALSE)</f>
        <v>14000</v>
      </c>
      <c r="F39" s="2" t="str">
        <f>VLOOKUP(B39,karyawan!B:E,4,FALSE)</f>
        <v>Desy</v>
      </c>
      <c r="G39" s="3">
        <v>6</v>
      </c>
      <c r="H39" s="3"/>
      <c r="I39" s="4">
        <v>6</v>
      </c>
      <c r="J39" s="5">
        <f t="shared" si="0"/>
        <v>3</v>
      </c>
      <c r="K39" s="4">
        <v>0</v>
      </c>
      <c r="L39" s="4">
        <v>3</v>
      </c>
      <c r="M39" s="4">
        <v>3</v>
      </c>
      <c r="N39" s="4">
        <f t="shared" si="1"/>
        <v>3</v>
      </c>
      <c r="O39" s="65">
        <f t="shared" si="2"/>
        <v>45000</v>
      </c>
    </row>
    <row r="40" spans="1:15" ht="14.4" x14ac:dyDescent="0.3">
      <c r="A40" s="1">
        <v>46142</v>
      </c>
      <c r="B40" s="49" t="s">
        <v>16</v>
      </c>
      <c r="C40" s="4">
        <v>9</v>
      </c>
      <c r="D40" s="2">
        <f>VLOOKUP(B40,[1]lantai9!$B:$G,6,FALSE)</f>
        <v>18000</v>
      </c>
      <c r="E40" s="2">
        <f>VLOOKUP(B40,karyawan!B:D,3,FALSE)</f>
        <v>17000</v>
      </c>
      <c r="F40" s="2" t="str">
        <f>VLOOKUP(B40,karyawan!B:E,4,FALSE)</f>
        <v>Geby</v>
      </c>
      <c r="G40" s="3">
        <v>6</v>
      </c>
      <c r="H40" s="3"/>
      <c r="I40" s="4">
        <v>6</v>
      </c>
      <c r="J40" s="5">
        <f t="shared" si="0"/>
        <v>2</v>
      </c>
      <c r="K40" s="4">
        <v>0</v>
      </c>
      <c r="L40" s="4">
        <v>4</v>
      </c>
      <c r="M40" s="4">
        <v>4</v>
      </c>
      <c r="N40" s="4">
        <f t="shared" si="1"/>
        <v>2</v>
      </c>
      <c r="O40" s="65">
        <f t="shared" si="2"/>
        <v>36000</v>
      </c>
    </row>
    <row r="41" spans="1:15" ht="14.4" x14ac:dyDescent="0.3">
      <c r="A41" s="1">
        <v>46142</v>
      </c>
      <c r="B41" s="49" t="s">
        <v>6</v>
      </c>
      <c r="C41" s="4">
        <v>9</v>
      </c>
      <c r="D41" s="2">
        <f>VLOOKUP(B41,[1]lantai9!$B:$G,6,FALSE)</f>
        <v>21000</v>
      </c>
      <c r="E41" s="2">
        <f>VLOOKUP(B41,karyawan!B:D,3,FALSE)</f>
        <v>20000</v>
      </c>
      <c r="F41" s="2" t="str">
        <f>VLOOKUP(B41,karyawan!B:E,4,FALSE)</f>
        <v>Geby</v>
      </c>
      <c r="G41" s="3">
        <v>2</v>
      </c>
      <c r="H41" s="3"/>
      <c r="I41" s="4">
        <v>2</v>
      </c>
      <c r="J41" s="5">
        <f t="shared" si="0"/>
        <v>2</v>
      </c>
      <c r="K41" s="4">
        <v>0</v>
      </c>
      <c r="L41" s="4">
        <v>0</v>
      </c>
      <c r="M41" s="4">
        <v>0</v>
      </c>
      <c r="N41" s="4">
        <f t="shared" si="1"/>
        <v>2</v>
      </c>
      <c r="O41" s="65">
        <f t="shared" si="2"/>
        <v>42000</v>
      </c>
    </row>
    <row r="42" spans="1:15" ht="14.4" x14ac:dyDescent="0.3">
      <c r="A42" s="1">
        <v>46142</v>
      </c>
      <c r="B42" s="49" t="s">
        <v>20</v>
      </c>
      <c r="C42" s="4">
        <v>9</v>
      </c>
      <c r="D42" s="2">
        <f>VLOOKUP(B42,[1]lantai9!$B:$G,6,FALSE)</f>
        <v>35000</v>
      </c>
      <c r="E42" s="2">
        <f>VLOOKUP(B42,karyawan!B:D,3,FALSE)</f>
        <v>34000</v>
      </c>
      <c r="F42" s="2" t="str">
        <f>VLOOKUP(B42,karyawan!B:E,4,FALSE)</f>
        <v>Sherly</v>
      </c>
      <c r="G42" s="3">
        <v>2</v>
      </c>
      <c r="H42" s="3"/>
      <c r="I42" s="4">
        <v>2</v>
      </c>
      <c r="J42" s="5">
        <f t="shared" si="0"/>
        <v>2</v>
      </c>
      <c r="K42" s="4">
        <v>0</v>
      </c>
      <c r="L42" s="4">
        <v>0</v>
      </c>
      <c r="M42" s="4">
        <v>0</v>
      </c>
      <c r="N42" s="4">
        <f t="shared" si="1"/>
        <v>2</v>
      </c>
      <c r="O42" s="65">
        <f t="shared" si="2"/>
        <v>70000</v>
      </c>
    </row>
    <row r="43" spans="1:15" ht="14.4" x14ac:dyDescent="0.3">
      <c r="A43" s="1">
        <v>46142</v>
      </c>
      <c r="B43" s="49" t="s">
        <v>21</v>
      </c>
      <c r="C43" s="4">
        <v>9</v>
      </c>
      <c r="D43" s="2">
        <f>VLOOKUP(B43,[1]lantai9!$B:$G,6,FALSE)</f>
        <v>40000</v>
      </c>
      <c r="E43" s="2">
        <f>VLOOKUP(B43,karyawan!B:D,3,FALSE)</f>
        <v>39000</v>
      </c>
      <c r="F43" s="2" t="str">
        <f>VLOOKUP(B43,karyawan!B:E,4,FALSE)</f>
        <v>Sherly</v>
      </c>
      <c r="G43" s="3">
        <v>4</v>
      </c>
      <c r="H43" s="3"/>
      <c r="I43" s="4">
        <v>3</v>
      </c>
      <c r="J43" s="5">
        <f t="shared" si="0"/>
        <v>1</v>
      </c>
      <c r="K43" s="4">
        <v>0</v>
      </c>
      <c r="L43" s="4">
        <v>3</v>
      </c>
      <c r="M43" s="4">
        <v>3</v>
      </c>
      <c r="N43" s="4">
        <f t="shared" si="1"/>
        <v>0</v>
      </c>
      <c r="O43" s="65">
        <f t="shared" si="2"/>
        <v>0</v>
      </c>
    </row>
    <row r="44" spans="1:15" ht="14.4" x14ac:dyDescent="0.3">
      <c r="A44" s="1">
        <v>46142</v>
      </c>
      <c r="B44" s="49" t="s">
        <v>19</v>
      </c>
      <c r="C44" s="4">
        <v>9</v>
      </c>
      <c r="D44" s="2">
        <f>VLOOKUP(B44,[1]lantai9!$B:$G,6,FALSE)</f>
        <v>2500</v>
      </c>
      <c r="E44" s="2">
        <f>VLOOKUP(B44,karyawan!B:D,3,FALSE)</f>
        <v>1480</v>
      </c>
      <c r="F44" s="2" t="str">
        <f>VLOOKUP(B44,karyawan!B:E,4,FALSE)</f>
        <v>Compliance</v>
      </c>
      <c r="G44" s="3">
        <v>12</v>
      </c>
      <c r="H44" s="3"/>
      <c r="I44" s="4">
        <v>12</v>
      </c>
      <c r="J44" s="5">
        <f t="shared" si="0"/>
        <v>1</v>
      </c>
      <c r="K44" s="4">
        <v>0</v>
      </c>
      <c r="L44" s="4">
        <v>4</v>
      </c>
      <c r="M44" s="4">
        <v>11</v>
      </c>
      <c r="N44" s="4">
        <f t="shared" si="1"/>
        <v>1</v>
      </c>
      <c r="O44" s="65">
        <f t="shared" si="2"/>
        <v>2500</v>
      </c>
    </row>
    <row r="45" spans="1:15" ht="14.4" x14ac:dyDescent="0.3">
      <c r="A45" s="1">
        <v>46142</v>
      </c>
      <c r="B45" s="49" t="s">
        <v>17</v>
      </c>
      <c r="C45" s="4">
        <v>9</v>
      </c>
      <c r="D45" s="2">
        <f>VLOOKUP(B45,[1]lantai9!$B:$G,6,FALSE)</f>
        <v>2000</v>
      </c>
      <c r="E45" s="2">
        <f>VLOOKUP(B45,karyawan!B:D,3,FALSE)</f>
        <v>1074</v>
      </c>
      <c r="F45" s="2" t="str">
        <f>VLOOKUP(B45,karyawan!B:E,4,FALSE)</f>
        <v>Compliance</v>
      </c>
      <c r="G45" s="3">
        <v>10</v>
      </c>
      <c r="H45" s="3"/>
      <c r="I45" s="4">
        <v>10</v>
      </c>
      <c r="J45" s="5">
        <f t="shared" si="0"/>
        <v>8</v>
      </c>
      <c r="K45" s="4">
        <v>0</v>
      </c>
      <c r="L45" s="4">
        <v>2</v>
      </c>
      <c r="M45" s="4">
        <v>2</v>
      </c>
      <c r="N45" s="4">
        <f t="shared" si="1"/>
        <v>8</v>
      </c>
      <c r="O45" s="65">
        <f t="shared" si="2"/>
        <v>16000</v>
      </c>
    </row>
    <row r="46" spans="1:15" ht="14.4" x14ac:dyDescent="0.3">
      <c r="A46" s="1">
        <v>46142</v>
      </c>
      <c r="B46" s="49" t="s">
        <v>5</v>
      </c>
      <c r="C46" s="4">
        <v>9</v>
      </c>
      <c r="D46" s="2">
        <f>VLOOKUP(B46,[1]lantai9!$B:$G,6,FALSE)</f>
        <v>2500</v>
      </c>
      <c r="E46" s="2">
        <f>VLOOKUP(B46,karyawan!B:D,3,FALSE)</f>
        <v>1465</v>
      </c>
      <c r="F46" s="2" t="str">
        <f>VLOOKUP(B46,karyawan!B:E,4,FALSE)</f>
        <v>Compliance</v>
      </c>
      <c r="G46" s="3">
        <v>10</v>
      </c>
      <c r="H46" s="3"/>
      <c r="I46" s="4">
        <v>10</v>
      </c>
      <c r="J46" s="5">
        <f t="shared" si="0"/>
        <v>1</v>
      </c>
      <c r="K46" s="4">
        <v>0</v>
      </c>
      <c r="L46" s="4">
        <v>9</v>
      </c>
      <c r="M46" s="4">
        <v>9</v>
      </c>
      <c r="N46" s="4">
        <f t="shared" si="1"/>
        <v>1</v>
      </c>
      <c r="O46" s="65">
        <f t="shared" si="2"/>
        <v>2500</v>
      </c>
    </row>
    <row r="47" spans="1:15" ht="14.4" x14ac:dyDescent="0.3">
      <c r="A47" s="1">
        <v>46142</v>
      </c>
      <c r="B47" s="49" t="s">
        <v>3</v>
      </c>
      <c r="C47" s="4">
        <v>9</v>
      </c>
      <c r="D47" s="2">
        <f>VLOOKUP(B47,[1]lantai9!$B:$G,6,FALSE)</f>
        <v>10000</v>
      </c>
      <c r="E47" s="2">
        <f>VLOOKUP(B47,karyawan!B:D,3,FALSE)</f>
        <v>9200</v>
      </c>
      <c r="F47" s="2" t="str">
        <f>VLOOKUP(B47,karyawan!B:E,4,FALSE)</f>
        <v>Compliance</v>
      </c>
      <c r="G47" s="3">
        <v>15</v>
      </c>
      <c r="H47" s="3"/>
      <c r="I47" s="4">
        <v>15</v>
      </c>
      <c r="J47" s="5">
        <f t="shared" si="0"/>
        <v>1</v>
      </c>
      <c r="K47" s="4">
        <v>0</v>
      </c>
      <c r="L47" s="4">
        <v>1</v>
      </c>
      <c r="M47" s="4">
        <v>14</v>
      </c>
      <c r="N47" s="4">
        <f t="shared" si="1"/>
        <v>1</v>
      </c>
      <c r="O47" s="65">
        <f t="shared" si="2"/>
        <v>10000</v>
      </c>
    </row>
    <row r="48" spans="1:15" ht="14.4" x14ac:dyDescent="0.3">
      <c r="A48" s="1">
        <v>46142</v>
      </c>
      <c r="B48" s="49" t="s">
        <v>18</v>
      </c>
      <c r="C48" s="4">
        <v>9</v>
      </c>
      <c r="D48" s="2">
        <f>VLOOKUP(B48,[1]lantai9!$B:$G,6,FALSE)</f>
        <v>15000</v>
      </c>
      <c r="E48" s="2">
        <f>VLOOKUP(B48,karyawan!B:D,3,FALSE)</f>
        <v>13807</v>
      </c>
      <c r="F48" s="2" t="str">
        <f>VLOOKUP(B48,karyawan!B:E,4,FALSE)</f>
        <v>Compliance</v>
      </c>
      <c r="G48" s="3">
        <v>10</v>
      </c>
      <c r="H48" s="3"/>
      <c r="I48" s="4">
        <v>10</v>
      </c>
      <c r="J48" s="5">
        <f t="shared" si="0"/>
        <v>8</v>
      </c>
      <c r="K48" s="4">
        <v>0</v>
      </c>
      <c r="L48" s="4">
        <v>2</v>
      </c>
      <c r="M48" s="4">
        <v>2</v>
      </c>
      <c r="N48" s="4">
        <f t="shared" si="1"/>
        <v>8</v>
      </c>
      <c r="O48" s="65">
        <f t="shared" si="2"/>
        <v>120000</v>
      </c>
    </row>
    <row r="49" spans="1:15" ht="14.4" x14ac:dyDescent="0.3">
      <c r="A49" s="6">
        <v>46142</v>
      </c>
      <c r="B49" s="49" t="s">
        <v>10</v>
      </c>
      <c r="C49" s="4">
        <v>9</v>
      </c>
      <c r="D49" s="2">
        <f>VLOOKUP(B49,[1]lantai9!$B:$G,6,FALSE)</f>
        <v>23000</v>
      </c>
      <c r="E49" s="2">
        <f>VLOOKUP(B49,karyawan!B:D,3,FALSE)</f>
        <v>21760</v>
      </c>
      <c r="F49" s="2" t="str">
        <f>VLOOKUP(B49,karyawan!B:E,4,FALSE)</f>
        <v>Compliance</v>
      </c>
      <c r="G49" s="3">
        <v>7</v>
      </c>
      <c r="H49" s="3"/>
      <c r="I49" s="4">
        <v>7</v>
      </c>
      <c r="J49" s="5">
        <f t="shared" si="0"/>
        <v>1</v>
      </c>
      <c r="K49" s="4">
        <v>0</v>
      </c>
      <c r="L49" s="4">
        <v>6</v>
      </c>
      <c r="M49" s="4">
        <v>6</v>
      </c>
      <c r="N49" s="4">
        <f t="shared" si="1"/>
        <v>1</v>
      </c>
      <c r="O49" s="65">
        <f t="shared" si="2"/>
        <v>23000</v>
      </c>
    </row>
    <row r="50" spans="1:15" ht="14.4" x14ac:dyDescent="0.3">
      <c r="A50" s="6">
        <v>46146</v>
      </c>
      <c r="B50" s="49" t="s">
        <v>4</v>
      </c>
      <c r="C50" s="4">
        <v>3</v>
      </c>
      <c r="D50" s="2">
        <f>VLOOKUP(B50,[1]lantai9!$B:$G,6,FALSE)</f>
        <v>35000</v>
      </c>
      <c r="E50" s="2">
        <f>VLOOKUP(B50,karyawan!B:D,3,FALSE)</f>
        <v>34000</v>
      </c>
      <c r="F50" s="2" t="str">
        <f>VLOOKUP(B50,karyawan!B:E,4,FALSE)</f>
        <v>Florida</v>
      </c>
      <c r="G50" s="3">
        <v>5</v>
      </c>
      <c r="H50" s="3"/>
      <c r="I50" s="4">
        <v>0</v>
      </c>
      <c r="J50" s="5">
        <f t="shared" si="0"/>
        <v>5</v>
      </c>
      <c r="K50" s="4">
        <v>0</v>
      </c>
      <c r="L50" s="4">
        <v>0</v>
      </c>
      <c r="M50" s="4">
        <v>0</v>
      </c>
      <c r="N50" s="4">
        <f t="shared" si="1"/>
        <v>0</v>
      </c>
      <c r="O50" s="65">
        <f t="shared" si="2"/>
        <v>0</v>
      </c>
    </row>
    <row r="51" spans="1:15" ht="14.4" x14ac:dyDescent="0.3">
      <c r="A51" s="6">
        <v>46146</v>
      </c>
      <c r="B51" s="49" t="s">
        <v>13</v>
      </c>
      <c r="C51" s="4">
        <v>3</v>
      </c>
      <c r="D51" s="2">
        <f>VLOOKUP(B51,[1]lantai9!$B:$G,6,FALSE)</f>
        <v>23000</v>
      </c>
      <c r="E51" s="2">
        <f>VLOOKUP(B51,karyawan!B:D,3,FALSE)</f>
        <v>22000</v>
      </c>
      <c r="F51" s="2" t="str">
        <f>VLOOKUP(B51,karyawan!B:E,4,FALSE)</f>
        <v>Yohannes</v>
      </c>
      <c r="G51" s="3">
        <v>6</v>
      </c>
      <c r="H51" s="3"/>
      <c r="I51" s="3">
        <v>6</v>
      </c>
      <c r="J51" s="5">
        <f t="shared" si="0"/>
        <v>4</v>
      </c>
      <c r="K51" s="41">
        <v>0</v>
      </c>
      <c r="L51" s="4">
        <v>3</v>
      </c>
      <c r="M51" s="4">
        <v>2</v>
      </c>
      <c r="N51" s="4">
        <f t="shared" si="1"/>
        <v>4</v>
      </c>
      <c r="O51" s="65">
        <f t="shared" si="2"/>
        <v>92000</v>
      </c>
    </row>
    <row r="52" spans="1:15" ht="14.4" x14ac:dyDescent="0.3">
      <c r="A52" s="6">
        <v>46146</v>
      </c>
      <c r="B52" s="49" t="s">
        <v>12</v>
      </c>
      <c r="C52" s="4">
        <v>3</v>
      </c>
      <c r="D52" s="2">
        <f>VLOOKUP(B52,[1]lantai9!$B:$G,6,FALSE)</f>
        <v>21000</v>
      </c>
      <c r="E52" s="2">
        <f>VLOOKUP(B52,karyawan!B:D,3,FALSE)</f>
        <v>20000</v>
      </c>
      <c r="F52" s="2" t="str">
        <f>VLOOKUP(B52,karyawan!B:E,4,FALSE)</f>
        <v>Damaz</v>
      </c>
      <c r="G52" s="3">
        <v>2</v>
      </c>
      <c r="H52" s="3"/>
      <c r="I52" s="4">
        <v>2</v>
      </c>
      <c r="J52" s="5">
        <f t="shared" si="0"/>
        <v>0</v>
      </c>
      <c r="K52" s="4">
        <v>0</v>
      </c>
      <c r="L52" s="4">
        <v>2</v>
      </c>
      <c r="M52" s="4">
        <v>2</v>
      </c>
      <c r="N52" s="4">
        <f t="shared" si="1"/>
        <v>0</v>
      </c>
      <c r="O52" s="65">
        <f t="shared" si="2"/>
        <v>0</v>
      </c>
    </row>
    <row r="53" spans="1:15" ht="14.4" x14ac:dyDescent="0.3">
      <c r="A53" s="6">
        <v>46146</v>
      </c>
      <c r="B53" s="49" t="s">
        <v>11</v>
      </c>
      <c r="C53" s="4">
        <v>3</v>
      </c>
      <c r="D53" s="2">
        <f>VLOOKUP(B53,[1]lantai9!$B:$G,6,FALSE)</f>
        <v>36000</v>
      </c>
      <c r="E53" s="2">
        <f>VLOOKUP(B53,karyawan!B:D,3,FALSE)</f>
        <v>35000</v>
      </c>
      <c r="F53" s="2" t="str">
        <f>VLOOKUP(B53,karyawan!B:E,4,FALSE)</f>
        <v>Damaz</v>
      </c>
      <c r="G53" s="3">
        <v>3</v>
      </c>
      <c r="H53" s="3"/>
      <c r="I53" s="4">
        <v>3</v>
      </c>
      <c r="J53" s="5">
        <f t="shared" si="0"/>
        <v>0</v>
      </c>
      <c r="K53" s="4">
        <v>0</v>
      </c>
      <c r="L53" s="4">
        <v>3</v>
      </c>
      <c r="M53" s="4">
        <v>3</v>
      </c>
      <c r="N53" s="4">
        <f t="shared" si="1"/>
        <v>0</v>
      </c>
      <c r="O53" s="65">
        <f t="shared" si="2"/>
        <v>0</v>
      </c>
    </row>
    <row r="54" spans="1:15" ht="14.4" x14ac:dyDescent="0.3">
      <c r="A54" s="6">
        <v>46146</v>
      </c>
      <c r="B54" s="49" t="s">
        <v>14</v>
      </c>
      <c r="C54" s="4">
        <v>3</v>
      </c>
      <c r="D54" s="2">
        <f>VLOOKUP(B54,[1]lantai9!$B:$G,6,FALSE)</f>
        <v>23000</v>
      </c>
      <c r="E54" s="2">
        <f>VLOOKUP(B54,karyawan!B:D,3,FALSE)</f>
        <v>22000</v>
      </c>
      <c r="F54" s="2" t="str">
        <f>VLOOKUP(B54,karyawan!B:E,4,FALSE)</f>
        <v>Vale</v>
      </c>
      <c r="G54" s="3">
        <v>5</v>
      </c>
      <c r="H54" s="3"/>
      <c r="I54" s="4">
        <v>2</v>
      </c>
      <c r="J54" s="5">
        <f t="shared" si="0"/>
        <v>5</v>
      </c>
      <c r="K54" s="4">
        <v>0</v>
      </c>
      <c r="L54" s="4">
        <v>0</v>
      </c>
      <c r="M54" s="4">
        <v>0</v>
      </c>
      <c r="N54" s="4">
        <f t="shared" si="1"/>
        <v>2</v>
      </c>
      <c r="O54" s="65">
        <f t="shared" si="2"/>
        <v>46000</v>
      </c>
    </row>
    <row r="55" spans="1:15" ht="14.4" x14ac:dyDescent="0.3">
      <c r="A55" s="6">
        <v>46146</v>
      </c>
      <c r="B55" s="49" t="s">
        <v>7</v>
      </c>
      <c r="C55" s="4">
        <v>3</v>
      </c>
      <c r="D55" s="2">
        <f>VLOOKUP(B55,[1]lantai9!$B:$G,6,FALSE)</f>
        <v>15000</v>
      </c>
      <c r="E55" s="2">
        <f>VLOOKUP(B55,karyawan!B:D,3,FALSE)</f>
        <v>14000</v>
      </c>
      <c r="F55" s="2" t="str">
        <f>VLOOKUP(B55,karyawan!B:E,4,FALSE)</f>
        <v>Desy</v>
      </c>
      <c r="G55" s="3">
        <v>6</v>
      </c>
      <c r="H55" s="3"/>
      <c r="I55" s="3">
        <v>6</v>
      </c>
      <c r="J55" s="5">
        <f t="shared" si="0"/>
        <v>1</v>
      </c>
      <c r="K55" s="41">
        <v>0</v>
      </c>
      <c r="L55" s="4">
        <v>4</v>
      </c>
      <c r="M55" s="4">
        <v>5</v>
      </c>
      <c r="N55" s="4">
        <f t="shared" si="1"/>
        <v>1</v>
      </c>
      <c r="O55" s="65">
        <f t="shared" si="2"/>
        <v>15000</v>
      </c>
    </row>
    <row r="56" spans="1:15" ht="14.4" x14ac:dyDescent="0.3">
      <c r="A56" s="6">
        <v>46146</v>
      </c>
      <c r="B56" s="49" t="s">
        <v>16</v>
      </c>
      <c r="C56" s="4">
        <v>3</v>
      </c>
      <c r="D56" s="2">
        <f>VLOOKUP(B56,[1]lantai9!$B:$G,6,FALSE)</f>
        <v>18000</v>
      </c>
      <c r="E56" s="2">
        <f>VLOOKUP(B56,karyawan!B:D,3,FALSE)</f>
        <v>17000</v>
      </c>
      <c r="F56" s="2" t="str">
        <f>VLOOKUP(B56,karyawan!B:E,4,FALSE)</f>
        <v>Geby</v>
      </c>
      <c r="G56" s="3">
        <v>6</v>
      </c>
      <c r="H56" s="3"/>
      <c r="I56" s="3">
        <v>6</v>
      </c>
      <c r="J56" s="5">
        <f t="shared" si="0"/>
        <v>3</v>
      </c>
      <c r="K56" s="41">
        <v>0</v>
      </c>
      <c r="L56" s="4">
        <v>4</v>
      </c>
      <c r="M56" s="4">
        <v>3</v>
      </c>
      <c r="N56" s="4">
        <f t="shared" si="1"/>
        <v>3</v>
      </c>
      <c r="O56" s="65">
        <f t="shared" si="2"/>
        <v>54000</v>
      </c>
    </row>
    <row r="57" spans="1:15" ht="14.4" x14ac:dyDescent="0.3">
      <c r="A57" s="6">
        <v>46146</v>
      </c>
      <c r="B57" s="49" t="s">
        <v>6</v>
      </c>
      <c r="C57" s="4">
        <v>3</v>
      </c>
      <c r="D57" s="2">
        <f>VLOOKUP(B57,[1]lantai9!$B:$G,6,FALSE)</f>
        <v>21000</v>
      </c>
      <c r="E57" s="2">
        <f>VLOOKUP(B57,karyawan!B:D,3,FALSE)</f>
        <v>20000</v>
      </c>
      <c r="F57" s="2" t="str">
        <f>VLOOKUP(B57,karyawan!B:E,4,FALSE)</f>
        <v>Geby</v>
      </c>
      <c r="G57" s="3">
        <v>2</v>
      </c>
      <c r="H57" s="3"/>
      <c r="I57" s="4">
        <v>2</v>
      </c>
      <c r="J57" s="5">
        <f t="shared" si="0"/>
        <v>1</v>
      </c>
      <c r="K57" s="4">
        <v>0</v>
      </c>
      <c r="L57" s="4">
        <v>1</v>
      </c>
      <c r="M57" s="4">
        <v>1</v>
      </c>
      <c r="N57" s="4">
        <f t="shared" si="1"/>
        <v>1</v>
      </c>
      <c r="O57" s="65">
        <f t="shared" si="2"/>
        <v>21000</v>
      </c>
    </row>
    <row r="58" spans="1:15" ht="14.4" x14ac:dyDescent="0.3">
      <c r="A58" s="6">
        <v>46146</v>
      </c>
      <c r="B58" s="49" t="s">
        <v>20</v>
      </c>
      <c r="C58" s="4">
        <v>3</v>
      </c>
      <c r="D58" s="2">
        <f>VLOOKUP(B58,[1]lantai9!$B:$G,6,FALSE)</f>
        <v>35000</v>
      </c>
      <c r="E58" s="2">
        <f>VLOOKUP(B58,karyawan!B:D,3,FALSE)</f>
        <v>34000</v>
      </c>
      <c r="F58" s="2" t="str">
        <f>VLOOKUP(B58,karyawan!B:E,4,FALSE)</f>
        <v>Sherly</v>
      </c>
      <c r="G58" s="3">
        <v>2</v>
      </c>
      <c r="H58" s="3"/>
      <c r="I58" s="3">
        <v>2</v>
      </c>
      <c r="J58" s="5">
        <f t="shared" si="0"/>
        <v>1</v>
      </c>
      <c r="K58" s="41">
        <v>0</v>
      </c>
      <c r="L58" s="4">
        <v>2</v>
      </c>
      <c r="M58" s="4">
        <v>1</v>
      </c>
      <c r="N58" s="4">
        <f t="shared" si="1"/>
        <v>1</v>
      </c>
      <c r="O58" s="65">
        <f t="shared" si="2"/>
        <v>35000</v>
      </c>
    </row>
    <row r="59" spans="1:15" ht="14.4" x14ac:dyDescent="0.3">
      <c r="A59" s="6">
        <v>46146</v>
      </c>
      <c r="B59" s="49" t="s">
        <v>21</v>
      </c>
      <c r="C59" s="4">
        <v>3</v>
      </c>
      <c r="D59" s="2">
        <f>VLOOKUP(B59,[1]lantai9!$B:$G,6,FALSE)</f>
        <v>40000</v>
      </c>
      <c r="E59" s="2">
        <f>VLOOKUP(B59,karyawan!B:D,3,FALSE)</f>
        <v>39000</v>
      </c>
      <c r="F59" s="2" t="str">
        <f>VLOOKUP(B59,karyawan!B:E,4,FALSE)</f>
        <v>Sherly</v>
      </c>
      <c r="G59" s="3">
        <v>4</v>
      </c>
      <c r="H59" s="3"/>
      <c r="I59" s="3">
        <v>3</v>
      </c>
      <c r="J59" s="5">
        <f t="shared" si="0"/>
        <v>1</v>
      </c>
      <c r="K59" s="41">
        <v>0</v>
      </c>
      <c r="L59" s="4">
        <v>3</v>
      </c>
      <c r="M59" s="4">
        <v>3</v>
      </c>
      <c r="N59" s="4">
        <f t="shared" si="1"/>
        <v>0</v>
      </c>
      <c r="O59" s="65">
        <f t="shared" si="2"/>
        <v>0</v>
      </c>
    </row>
    <row r="60" spans="1:15" ht="14.4" x14ac:dyDescent="0.3">
      <c r="A60" s="6">
        <v>46146</v>
      </c>
      <c r="B60" s="49" t="s">
        <v>19</v>
      </c>
      <c r="C60" s="4">
        <v>3</v>
      </c>
      <c r="D60" s="2">
        <f>VLOOKUP(B60,[1]lantai9!$B:$G,6,FALSE)</f>
        <v>2500</v>
      </c>
      <c r="E60" s="2">
        <f>VLOOKUP(B60,karyawan!B:D,3,FALSE)</f>
        <v>1480</v>
      </c>
      <c r="F60" s="2" t="str">
        <f>VLOOKUP(B60,karyawan!B:E,4,FALSE)</f>
        <v>Compliance</v>
      </c>
      <c r="G60" s="3">
        <v>12</v>
      </c>
      <c r="H60" s="3"/>
      <c r="I60" s="4">
        <v>12</v>
      </c>
      <c r="J60" s="5">
        <f t="shared" si="0"/>
        <v>0</v>
      </c>
      <c r="K60" s="4">
        <v>0</v>
      </c>
      <c r="L60" s="4">
        <v>12</v>
      </c>
      <c r="M60" s="4">
        <v>12</v>
      </c>
      <c r="N60" s="4">
        <f t="shared" si="1"/>
        <v>0</v>
      </c>
      <c r="O60" s="65">
        <f t="shared" si="2"/>
        <v>0</v>
      </c>
    </row>
    <row r="61" spans="1:15" ht="14.4" x14ac:dyDescent="0.3">
      <c r="A61" s="6">
        <v>46146</v>
      </c>
      <c r="B61" s="49" t="s">
        <v>17</v>
      </c>
      <c r="C61" s="4">
        <v>3</v>
      </c>
      <c r="D61" s="2">
        <f>VLOOKUP(B61,[1]lantai9!$B:$G,6,FALSE)</f>
        <v>2000</v>
      </c>
      <c r="E61" s="2">
        <f>VLOOKUP(B61,karyawan!B:D,3,FALSE)</f>
        <v>1074</v>
      </c>
      <c r="F61" s="2" t="str">
        <f>VLOOKUP(B61,karyawan!B:E,4,FALSE)</f>
        <v>Compliance</v>
      </c>
      <c r="G61" s="3">
        <v>10</v>
      </c>
      <c r="H61" s="3"/>
      <c r="I61" s="3">
        <v>10</v>
      </c>
      <c r="J61" s="5">
        <f t="shared" si="0"/>
        <v>0</v>
      </c>
      <c r="K61" s="41">
        <v>0</v>
      </c>
      <c r="L61" s="4">
        <v>15</v>
      </c>
      <c r="M61" s="4">
        <v>10</v>
      </c>
      <c r="N61" s="4">
        <f t="shared" si="1"/>
        <v>0</v>
      </c>
      <c r="O61" s="65">
        <f t="shared" si="2"/>
        <v>0</v>
      </c>
    </row>
    <row r="62" spans="1:15" ht="14.4" x14ac:dyDescent="0.3">
      <c r="A62" s="6">
        <v>46146</v>
      </c>
      <c r="B62" s="49" t="s">
        <v>5</v>
      </c>
      <c r="C62" s="4">
        <v>3</v>
      </c>
      <c r="D62" s="2">
        <f>VLOOKUP(B62,[1]lantai9!$B:$G,6,FALSE)</f>
        <v>2500</v>
      </c>
      <c r="E62" s="2">
        <f>VLOOKUP(B62,karyawan!B:D,3,FALSE)</f>
        <v>1465</v>
      </c>
      <c r="F62" s="2" t="str">
        <f>VLOOKUP(B62,karyawan!B:E,4,FALSE)</f>
        <v>Compliance</v>
      </c>
      <c r="G62" s="3">
        <v>10</v>
      </c>
      <c r="H62" s="3"/>
      <c r="I62" s="3">
        <v>10</v>
      </c>
      <c r="J62" s="5">
        <f t="shared" si="0"/>
        <v>1</v>
      </c>
      <c r="K62" s="41">
        <v>0</v>
      </c>
      <c r="L62" s="4">
        <v>15</v>
      </c>
      <c r="M62" s="4">
        <v>9</v>
      </c>
      <c r="N62" s="4">
        <f t="shared" si="1"/>
        <v>1</v>
      </c>
      <c r="O62" s="65">
        <f t="shared" si="2"/>
        <v>2500</v>
      </c>
    </row>
    <row r="63" spans="1:15" ht="14.4" x14ac:dyDescent="0.3">
      <c r="A63" s="6">
        <v>46146</v>
      </c>
      <c r="B63" s="49" t="s">
        <v>3</v>
      </c>
      <c r="C63" s="4">
        <v>3</v>
      </c>
      <c r="D63" s="2">
        <f>VLOOKUP(B63,[1]lantai9!$B:$G,6,FALSE)</f>
        <v>10000</v>
      </c>
      <c r="E63" s="2">
        <f>VLOOKUP(B63,karyawan!B:D,3,FALSE)</f>
        <v>9200</v>
      </c>
      <c r="F63" s="2" t="str">
        <f>VLOOKUP(B63,karyawan!B:E,4,FALSE)</f>
        <v>Compliance</v>
      </c>
      <c r="G63" s="3">
        <v>15</v>
      </c>
      <c r="H63" s="3"/>
      <c r="I63" s="4">
        <v>15</v>
      </c>
      <c r="J63" s="5">
        <f t="shared" si="0"/>
        <v>2</v>
      </c>
      <c r="K63" s="4">
        <v>0</v>
      </c>
      <c r="L63" s="4">
        <v>13</v>
      </c>
      <c r="M63" s="4">
        <v>13</v>
      </c>
      <c r="N63" s="4">
        <f t="shared" si="1"/>
        <v>2</v>
      </c>
      <c r="O63" s="65">
        <f t="shared" si="2"/>
        <v>20000</v>
      </c>
    </row>
    <row r="64" spans="1:15" ht="14.4" x14ac:dyDescent="0.3">
      <c r="A64" s="6">
        <v>46146</v>
      </c>
      <c r="B64" s="49" t="s">
        <v>18</v>
      </c>
      <c r="C64" s="4">
        <v>3</v>
      </c>
      <c r="D64" s="2">
        <f>VLOOKUP(B64,[1]lantai9!$B:$G,6,FALSE)</f>
        <v>15000</v>
      </c>
      <c r="E64" s="2">
        <f>VLOOKUP(B64,karyawan!B:D,3,FALSE)</f>
        <v>13807</v>
      </c>
      <c r="F64" s="2" t="str">
        <f>VLOOKUP(B64,karyawan!B:E,4,FALSE)</f>
        <v>Compliance</v>
      </c>
      <c r="G64" s="3">
        <v>10</v>
      </c>
      <c r="H64" s="3"/>
      <c r="I64" s="4">
        <v>8</v>
      </c>
      <c r="J64" s="5">
        <f t="shared" si="0"/>
        <v>8</v>
      </c>
      <c r="K64" s="4">
        <v>0</v>
      </c>
      <c r="L64" s="4">
        <v>4</v>
      </c>
      <c r="M64" s="4">
        <v>2</v>
      </c>
      <c r="N64" s="4">
        <f t="shared" si="1"/>
        <v>6</v>
      </c>
      <c r="O64" s="65">
        <f t="shared" si="2"/>
        <v>90000</v>
      </c>
    </row>
    <row r="65" spans="1:15" ht="14.4" x14ac:dyDescent="0.3">
      <c r="A65" s="6">
        <v>46146</v>
      </c>
      <c r="B65" s="49" t="s">
        <v>10</v>
      </c>
      <c r="C65" s="4">
        <v>3</v>
      </c>
      <c r="D65" s="2">
        <f>VLOOKUP(B65,[1]lantai9!$B:$G,6,FALSE)</f>
        <v>23000</v>
      </c>
      <c r="E65" s="2">
        <f>VLOOKUP(B65,karyawan!B:D,3,FALSE)</f>
        <v>21760</v>
      </c>
      <c r="F65" s="2" t="str">
        <f>VLOOKUP(B65,karyawan!B:E,4,FALSE)</f>
        <v>Compliance</v>
      </c>
      <c r="G65" s="3">
        <v>7</v>
      </c>
      <c r="H65" s="3"/>
      <c r="I65" s="4">
        <v>6</v>
      </c>
      <c r="J65" s="5">
        <f t="shared" si="0"/>
        <v>2</v>
      </c>
      <c r="K65" s="4">
        <v>0</v>
      </c>
      <c r="L65" s="4">
        <v>6</v>
      </c>
      <c r="M65" s="4">
        <v>5</v>
      </c>
      <c r="N65" s="4">
        <f t="shared" si="1"/>
        <v>1</v>
      </c>
      <c r="O65" s="65">
        <f t="shared" si="2"/>
        <v>23000</v>
      </c>
    </row>
    <row r="66" spans="1:15" ht="14.4" x14ac:dyDescent="0.3">
      <c r="A66" s="6">
        <v>46146</v>
      </c>
      <c r="B66" s="49" t="s">
        <v>4</v>
      </c>
      <c r="C66" s="4">
        <v>8</v>
      </c>
      <c r="D66" s="2">
        <f>VLOOKUP(B66,[1]lantai9!$B:$G,6,FALSE)</f>
        <v>35000</v>
      </c>
      <c r="E66" s="2">
        <f>VLOOKUP(B66,karyawan!B:D,3,FALSE)</f>
        <v>34000</v>
      </c>
      <c r="F66" s="2" t="str">
        <f>VLOOKUP(B66,karyawan!B:E,4,FALSE)</f>
        <v>Florida</v>
      </c>
      <c r="G66" s="3">
        <v>5</v>
      </c>
      <c r="H66" s="3"/>
      <c r="I66" s="4">
        <v>4</v>
      </c>
      <c r="J66" s="5">
        <f t="shared" ref="J66:J129" si="3">IF($G66-$M66&lt;0,0,$G66-$M66)</f>
        <v>1</v>
      </c>
      <c r="K66" s="4">
        <v>0</v>
      </c>
      <c r="L66" s="4">
        <v>5</v>
      </c>
      <c r="M66" s="4">
        <v>4</v>
      </c>
      <c r="N66" s="4">
        <f t="shared" ref="N66:N129" si="4">MAX($I66-$M66,0)</f>
        <v>0</v>
      </c>
      <c r="O66" s="65">
        <f t="shared" ref="O66:O129" si="5">N66*D66</f>
        <v>0</v>
      </c>
    </row>
    <row r="67" spans="1:15" ht="14.4" x14ac:dyDescent="0.3">
      <c r="A67" s="6">
        <v>46146</v>
      </c>
      <c r="B67" s="49" t="s">
        <v>13</v>
      </c>
      <c r="C67" s="4">
        <v>8</v>
      </c>
      <c r="D67" s="2">
        <f>VLOOKUP(B67,[1]lantai9!$B:$G,6,FALSE)</f>
        <v>23000</v>
      </c>
      <c r="E67" s="2">
        <f>VLOOKUP(B67,karyawan!B:D,3,FALSE)</f>
        <v>22000</v>
      </c>
      <c r="F67" s="2" t="str">
        <f>VLOOKUP(B67,karyawan!B:E,4,FALSE)</f>
        <v>Yohannes</v>
      </c>
      <c r="G67" s="3">
        <v>6</v>
      </c>
      <c r="H67" s="3"/>
      <c r="I67" s="3">
        <v>6</v>
      </c>
      <c r="J67" s="5">
        <f t="shared" si="3"/>
        <v>0</v>
      </c>
      <c r="K67" s="41">
        <v>0</v>
      </c>
      <c r="L67" s="4">
        <v>9</v>
      </c>
      <c r="M67" s="4">
        <v>6</v>
      </c>
      <c r="N67" s="4">
        <f t="shared" si="4"/>
        <v>0</v>
      </c>
      <c r="O67" s="65">
        <f t="shared" si="5"/>
        <v>0</v>
      </c>
    </row>
    <row r="68" spans="1:15" ht="14.4" x14ac:dyDescent="0.3">
      <c r="A68" s="6">
        <v>46146</v>
      </c>
      <c r="B68" s="49" t="s">
        <v>12</v>
      </c>
      <c r="C68" s="4">
        <v>8</v>
      </c>
      <c r="D68" s="2">
        <f>VLOOKUP(B68,[1]lantai9!$B:$G,6,FALSE)</f>
        <v>21000</v>
      </c>
      <c r="E68" s="2">
        <f>VLOOKUP(B68,karyawan!B:D,3,FALSE)</f>
        <v>20000</v>
      </c>
      <c r="F68" s="2" t="str">
        <f>VLOOKUP(B68,karyawan!B:E,4,FALSE)</f>
        <v>Damaz</v>
      </c>
      <c r="G68" s="3">
        <v>2</v>
      </c>
      <c r="H68" s="3"/>
      <c r="I68" s="4">
        <v>1</v>
      </c>
      <c r="J68" s="5">
        <f t="shared" si="3"/>
        <v>1</v>
      </c>
      <c r="K68" s="4">
        <v>0</v>
      </c>
      <c r="L68" s="4">
        <v>1</v>
      </c>
      <c r="M68" s="4">
        <v>1</v>
      </c>
      <c r="N68" s="4">
        <f t="shared" si="4"/>
        <v>0</v>
      </c>
      <c r="O68" s="65">
        <f t="shared" si="5"/>
        <v>0</v>
      </c>
    </row>
    <row r="69" spans="1:15" ht="14.4" x14ac:dyDescent="0.3">
      <c r="A69" s="6">
        <v>46146</v>
      </c>
      <c r="B69" s="49" t="s">
        <v>11</v>
      </c>
      <c r="C69" s="4">
        <v>8</v>
      </c>
      <c r="D69" s="2">
        <f>VLOOKUP(B69,[1]lantai9!$B:$G,6,FALSE)</f>
        <v>36000</v>
      </c>
      <c r="E69" s="2">
        <f>VLOOKUP(B69,karyawan!B:D,3,FALSE)</f>
        <v>35000</v>
      </c>
      <c r="F69" s="2" t="str">
        <f>VLOOKUP(B69,karyawan!B:E,4,FALSE)</f>
        <v>Damaz</v>
      </c>
      <c r="G69" s="3">
        <v>3</v>
      </c>
      <c r="H69" s="3"/>
      <c r="I69" s="4">
        <v>2</v>
      </c>
      <c r="J69" s="5">
        <f t="shared" si="3"/>
        <v>1</v>
      </c>
      <c r="K69" s="4">
        <v>0</v>
      </c>
      <c r="L69" s="4">
        <v>3</v>
      </c>
      <c r="M69" s="4">
        <v>2</v>
      </c>
      <c r="N69" s="4">
        <f t="shared" si="4"/>
        <v>0</v>
      </c>
      <c r="O69" s="65">
        <f t="shared" si="5"/>
        <v>0</v>
      </c>
    </row>
    <row r="70" spans="1:15" ht="14.4" x14ac:dyDescent="0.3">
      <c r="A70" s="6">
        <v>46146</v>
      </c>
      <c r="B70" s="49" t="s">
        <v>14</v>
      </c>
      <c r="C70" s="4">
        <v>8</v>
      </c>
      <c r="D70" s="2">
        <f>VLOOKUP(B70,[1]lantai9!$B:$G,6,FALSE)</f>
        <v>23000</v>
      </c>
      <c r="E70" s="2">
        <f>VLOOKUP(B70,karyawan!B:D,3,FALSE)</f>
        <v>22000</v>
      </c>
      <c r="F70" s="2" t="str">
        <f>VLOOKUP(B70,karyawan!B:E,4,FALSE)</f>
        <v>Vale</v>
      </c>
      <c r="G70" s="3">
        <v>5</v>
      </c>
      <c r="H70" s="3"/>
      <c r="I70" s="4">
        <v>0</v>
      </c>
      <c r="J70" s="5">
        <f t="shared" si="3"/>
        <v>5</v>
      </c>
      <c r="K70" s="4">
        <v>0</v>
      </c>
      <c r="L70" s="4">
        <v>1</v>
      </c>
      <c r="M70" s="4">
        <v>0</v>
      </c>
      <c r="N70" s="4">
        <f t="shared" si="4"/>
        <v>0</v>
      </c>
      <c r="O70" s="65">
        <f t="shared" si="5"/>
        <v>0</v>
      </c>
    </row>
    <row r="71" spans="1:15" ht="14.4" x14ac:dyDescent="0.3">
      <c r="A71" s="6">
        <v>46146</v>
      </c>
      <c r="B71" s="49" t="s">
        <v>7</v>
      </c>
      <c r="C71" s="4">
        <v>8</v>
      </c>
      <c r="D71" s="2">
        <f>VLOOKUP(B71,[1]lantai9!$B:$G,6,FALSE)</f>
        <v>15000</v>
      </c>
      <c r="E71" s="2">
        <f>VLOOKUP(B71,karyawan!B:D,3,FALSE)</f>
        <v>14000</v>
      </c>
      <c r="F71" s="2" t="str">
        <f>VLOOKUP(B71,karyawan!B:E,4,FALSE)</f>
        <v>Desy</v>
      </c>
      <c r="G71" s="3">
        <v>6</v>
      </c>
      <c r="H71" s="3"/>
      <c r="I71" s="3">
        <v>6</v>
      </c>
      <c r="J71" s="5">
        <f t="shared" si="3"/>
        <v>3</v>
      </c>
      <c r="K71" s="41">
        <v>0</v>
      </c>
      <c r="L71" s="4">
        <v>6</v>
      </c>
      <c r="M71" s="4">
        <v>3</v>
      </c>
      <c r="N71" s="4">
        <f t="shared" si="4"/>
        <v>3</v>
      </c>
      <c r="O71" s="65">
        <f t="shared" si="5"/>
        <v>45000</v>
      </c>
    </row>
    <row r="72" spans="1:15" ht="14.4" x14ac:dyDescent="0.3">
      <c r="A72" s="6">
        <v>46146</v>
      </c>
      <c r="B72" s="49" t="s">
        <v>16</v>
      </c>
      <c r="C72" s="4">
        <v>8</v>
      </c>
      <c r="D72" s="2">
        <f>VLOOKUP(B72,[1]lantai9!$B:$G,6,FALSE)</f>
        <v>18000</v>
      </c>
      <c r="E72" s="2">
        <f>VLOOKUP(B72,karyawan!B:D,3,FALSE)</f>
        <v>17000</v>
      </c>
      <c r="F72" s="2" t="str">
        <f>VLOOKUP(B72,karyawan!B:E,4,FALSE)</f>
        <v>Geby</v>
      </c>
      <c r="G72" s="3">
        <v>6</v>
      </c>
      <c r="H72" s="3"/>
      <c r="I72" s="3">
        <v>6</v>
      </c>
      <c r="J72" s="5">
        <f t="shared" si="3"/>
        <v>4</v>
      </c>
      <c r="K72" s="41">
        <v>0</v>
      </c>
      <c r="L72" s="4">
        <v>3</v>
      </c>
      <c r="M72" s="4">
        <v>2</v>
      </c>
      <c r="N72" s="4">
        <f t="shared" si="4"/>
        <v>4</v>
      </c>
      <c r="O72" s="65">
        <f t="shared" si="5"/>
        <v>72000</v>
      </c>
    </row>
    <row r="73" spans="1:15" ht="14.4" x14ac:dyDescent="0.3">
      <c r="A73" s="6">
        <v>46146</v>
      </c>
      <c r="B73" s="49" t="s">
        <v>6</v>
      </c>
      <c r="C73" s="4">
        <v>8</v>
      </c>
      <c r="D73" s="2">
        <f>VLOOKUP(B73,[1]lantai9!$B:$G,6,FALSE)</f>
        <v>21000</v>
      </c>
      <c r="E73" s="2">
        <f>VLOOKUP(B73,karyawan!B:D,3,FALSE)</f>
        <v>20000</v>
      </c>
      <c r="F73" s="2" t="str">
        <f>VLOOKUP(B73,karyawan!B:E,4,FALSE)</f>
        <v>Geby</v>
      </c>
      <c r="G73" s="3">
        <v>2</v>
      </c>
      <c r="H73" s="3"/>
      <c r="I73" s="3">
        <v>2</v>
      </c>
      <c r="J73" s="5">
        <f t="shared" si="3"/>
        <v>0</v>
      </c>
      <c r="K73" s="41">
        <v>0</v>
      </c>
      <c r="L73" s="4">
        <v>2</v>
      </c>
      <c r="M73" s="4">
        <v>2</v>
      </c>
      <c r="N73" s="4">
        <f t="shared" si="4"/>
        <v>0</v>
      </c>
      <c r="O73" s="65">
        <f t="shared" si="5"/>
        <v>0</v>
      </c>
    </row>
    <row r="74" spans="1:15" ht="14.4" x14ac:dyDescent="0.3">
      <c r="A74" s="6">
        <v>46146</v>
      </c>
      <c r="B74" s="49" t="s">
        <v>20</v>
      </c>
      <c r="C74" s="4">
        <v>8</v>
      </c>
      <c r="D74" s="2">
        <f>VLOOKUP(B74,[1]lantai9!$B:$G,6,FALSE)</f>
        <v>35000</v>
      </c>
      <c r="E74" s="2">
        <f>VLOOKUP(B74,karyawan!B:D,3,FALSE)</f>
        <v>34000</v>
      </c>
      <c r="F74" s="2" t="str">
        <f>VLOOKUP(B74,karyawan!B:E,4,FALSE)</f>
        <v>Sherly</v>
      </c>
      <c r="G74" s="3">
        <v>2</v>
      </c>
      <c r="H74" s="3"/>
      <c r="I74" s="4">
        <v>1</v>
      </c>
      <c r="J74" s="5">
        <f t="shared" si="3"/>
        <v>1</v>
      </c>
      <c r="K74" s="4">
        <v>0</v>
      </c>
      <c r="L74" s="4">
        <v>1</v>
      </c>
      <c r="M74" s="4">
        <v>1</v>
      </c>
      <c r="N74" s="4">
        <f t="shared" si="4"/>
        <v>0</v>
      </c>
      <c r="O74" s="65">
        <f t="shared" si="5"/>
        <v>0</v>
      </c>
    </row>
    <row r="75" spans="1:15" ht="14.4" x14ac:dyDescent="0.3">
      <c r="A75" s="6">
        <v>46146</v>
      </c>
      <c r="B75" s="49" t="s">
        <v>21</v>
      </c>
      <c r="C75" s="4">
        <v>8</v>
      </c>
      <c r="D75" s="2">
        <f>VLOOKUP(B75,[1]lantai9!$B:$G,6,FALSE)</f>
        <v>40000</v>
      </c>
      <c r="E75" s="2">
        <f>VLOOKUP(B75,karyawan!B:D,3,FALSE)</f>
        <v>39000</v>
      </c>
      <c r="F75" s="2" t="str">
        <f>VLOOKUP(B75,karyawan!B:E,4,FALSE)</f>
        <v>Sherly</v>
      </c>
      <c r="G75" s="3">
        <v>4</v>
      </c>
      <c r="H75" s="3"/>
      <c r="I75" s="4">
        <v>3</v>
      </c>
      <c r="J75" s="5">
        <f t="shared" si="3"/>
        <v>1</v>
      </c>
      <c r="K75" s="4">
        <v>0</v>
      </c>
      <c r="L75" s="4">
        <v>4</v>
      </c>
      <c r="M75" s="4">
        <v>3</v>
      </c>
      <c r="N75" s="4">
        <f t="shared" si="4"/>
        <v>0</v>
      </c>
      <c r="O75" s="65">
        <f t="shared" si="5"/>
        <v>0</v>
      </c>
    </row>
    <row r="76" spans="1:15" ht="14.4" x14ac:dyDescent="0.3">
      <c r="A76" s="6">
        <v>46146</v>
      </c>
      <c r="B76" s="49" t="s">
        <v>19</v>
      </c>
      <c r="C76" s="4">
        <v>8</v>
      </c>
      <c r="D76" s="2">
        <f>VLOOKUP(B76,[1]lantai9!$B:$G,6,FALSE)</f>
        <v>2500</v>
      </c>
      <c r="E76" s="2">
        <f>VLOOKUP(B76,karyawan!B:D,3,FALSE)</f>
        <v>1480</v>
      </c>
      <c r="F76" s="2" t="str">
        <f>VLOOKUP(B76,karyawan!B:E,4,FALSE)</f>
        <v>Compliance</v>
      </c>
      <c r="G76" s="3">
        <v>12</v>
      </c>
      <c r="H76" s="3"/>
      <c r="I76" s="4">
        <v>10</v>
      </c>
      <c r="J76" s="5">
        <f t="shared" si="3"/>
        <v>6</v>
      </c>
      <c r="K76" s="4">
        <v>0</v>
      </c>
      <c r="L76" s="4">
        <v>7</v>
      </c>
      <c r="M76" s="4">
        <v>6</v>
      </c>
      <c r="N76" s="4">
        <f t="shared" si="4"/>
        <v>4</v>
      </c>
      <c r="O76" s="65">
        <f t="shared" si="5"/>
        <v>10000</v>
      </c>
    </row>
    <row r="77" spans="1:15" ht="14.4" x14ac:dyDescent="0.3">
      <c r="A77" s="6">
        <v>46146</v>
      </c>
      <c r="B77" s="49" t="s">
        <v>17</v>
      </c>
      <c r="C77" s="4">
        <v>8</v>
      </c>
      <c r="D77" s="2">
        <f>VLOOKUP(B77,[1]lantai9!$B:$G,6,FALSE)</f>
        <v>2000</v>
      </c>
      <c r="E77" s="2">
        <f>VLOOKUP(B77,karyawan!B:D,3,FALSE)</f>
        <v>1074</v>
      </c>
      <c r="F77" s="2" t="str">
        <f>VLOOKUP(B77,karyawan!B:E,4,FALSE)</f>
        <v>Compliance</v>
      </c>
      <c r="G77" s="3">
        <v>10</v>
      </c>
      <c r="H77" s="3"/>
      <c r="I77" s="3">
        <v>10</v>
      </c>
      <c r="J77" s="5">
        <f t="shared" si="3"/>
        <v>0</v>
      </c>
      <c r="K77" s="41">
        <v>0</v>
      </c>
      <c r="L77" s="4">
        <v>4</v>
      </c>
      <c r="M77" s="4">
        <v>10</v>
      </c>
      <c r="N77" s="4">
        <f t="shared" si="4"/>
        <v>0</v>
      </c>
      <c r="O77" s="65">
        <f t="shared" si="5"/>
        <v>0</v>
      </c>
    </row>
    <row r="78" spans="1:15" ht="14.4" x14ac:dyDescent="0.3">
      <c r="A78" s="6">
        <v>46146</v>
      </c>
      <c r="B78" s="49" t="s">
        <v>5</v>
      </c>
      <c r="C78" s="4">
        <v>8</v>
      </c>
      <c r="D78" s="2">
        <f>VLOOKUP(B78,[1]lantai9!$B:$G,6,FALSE)</f>
        <v>2500</v>
      </c>
      <c r="E78" s="2">
        <f>VLOOKUP(B78,karyawan!B:D,3,FALSE)</f>
        <v>1465</v>
      </c>
      <c r="F78" s="2" t="str">
        <f>VLOOKUP(B78,karyawan!B:E,4,FALSE)</f>
        <v>Compliance</v>
      </c>
      <c r="G78" s="3">
        <v>10</v>
      </c>
      <c r="H78" s="3"/>
      <c r="I78" s="3">
        <v>10</v>
      </c>
      <c r="J78" s="5">
        <f t="shared" si="3"/>
        <v>4</v>
      </c>
      <c r="K78" s="41">
        <v>0</v>
      </c>
      <c r="L78" s="4">
        <v>6</v>
      </c>
      <c r="M78" s="4">
        <v>6</v>
      </c>
      <c r="N78" s="4">
        <f t="shared" si="4"/>
        <v>4</v>
      </c>
      <c r="O78" s="65">
        <f t="shared" si="5"/>
        <v>10000</v>
      </c>
    </row>
    <row r="79" spans="1:15" ht="14.4" x14ac:dyDescent="0.3">
      <c r="A79" s="6">
        <v>46146</v>
      </c>
      <c r="B79" s="49" t="s">
        <v>3</v>
      </c>
      <c r="C79" s="4">
        <v>8</v>
      </c>
      <c r="D79" s="2">
        <f>VLOOKUP(B79,[1]lantai9!$B:$G,6,FALSE)</f>
        <v>10000</v>
      </c>
      <c r="E79" s="2">
        <f>VLOOKUP(B79,karyawan!B:D,3,FALSE)</f>
        <v>9200</v>
      </c>
      <c r="F79" s="2" t="str">
        <f>VLOOKUP(B79,karyawan!B:E,4,FALSE)</f>
        <v>Compliance</v>
      </c>
      <c r="G79" s="3">
        <v>15</v>
      </c>
      <c r="H79" s="3"/>
      <c r="I79" s="4">
        <v>15</v>
      </c>
      <c r="J79" s="5">
        <f t="shared" si="3"/>
        <v>0</v>
      </c>
      <c r="K79" s="4">
        <v>0</v>
      </c>
      <c r="L79" s="4">
        <v>15</v>
      </c>
      <c r="M79" s="4">
        <v>15</v>
      </c>
      <c r="N79" s="4">
        <f t="shared" si="4"/>
        <v>0</v>
      </c>
      <c r="O79" s="65">
        <f t="shared" si="5"/>
        <v>0</v>
      </c>
    </row>
    <row r="80" spans="1:15" ht="14.4" x14ac:dyDescent="0.3">
      <c r="A80" s="6">
        <v>46146</v>
      </c>
      <c r="B80" s="49" t="s">
        <v>18</v>
      </c>
      <c r="C80" s="4">
        <v>8</v>
      </c>
      <c r="D80" s="2">
        <f>VLOOKUP(B80,[1]lantai9!$B:$G,6,FALSE)</f>
        <v>15000</v>
      </c>
      <c r="E80" s="2">
        <f>VLOOKUP(B80,karyawan!B:D,3,FALSE)</f>
        <v>13807</v>
      </c>
      <c r="F80" s="2" t="str">
        <f>VLOOKUP(B80,karyawan!B:E,4,FALSE)</f>
        <v>Compliance</v>
      </c>
      <c r="G80" s="3">
        <v>10</v>
      </c>
      <c r="H80" s="3"/>
      <c r="I80" s="4">
        <v>1</v>
      </c>
      <c r="J80" s="5">
        <f t="shared" si="3"/>
        <v>10</v>
      </c>
      <c r="K80" s="4">
        <v>0</v>
      </c>
      <c r="L80" s="4">
        <v>1</v>
      </c>
      <c r="M80" s="4">
        <v>0</v>
      </c>
      <c r="N80" s="4">
        <f t="shared" si="4"/>
        <v>1</v>
      </c>
      <c r="O80" s="65">
        <f t="shared" si="5"/>
        <v>15000</v>
      </c>
    </row>
    <row r="81" spans="1:15" ht="14.4" x14ac:dyDescent="0.3">
      <c r="A81" s="6">
        <v>46146</v>
      </c>
      <c r="B81" s="49" t="s">
        <v>10</v>
      </c>
      <c r="C81" s="4">
        <v>8</v>
      </c>
      <c r="D81" s="2">
        <f>VLOOKUP(B81,[1]lantai9!$B:$G,6,FALSE)</f>
        <v>23000</v>
      </c>
      <c r="E81" s="2">
        <f>VLOOKUP(B81,karyawan!B:D,3,FALSE)</f>
        <v>21760</v>
      </c>
      <c r="F81" s="2" t="str">
        <f>VLOOKUP(B81,karyawan!B:E,4,FALSE)</f>
        <v>Compliance</v>
      </c>
      <c r="G81" s="3">
        <v>7</v>
      </c>
      <c r="H81" s="3"/>
      <c r="I81" s="4">
        <v>5</v>
      </c>
      <c r="J81" s="5">
        <f t="shared" si="3"/>
        <v>2</v>
      </c>
      <c r="K81" s="4">
        <v>0</v>
      </c>
      <c r="L81" s="4">
        <v>6</v>
      </c>
      <c r="M81" s="4">
        <v>5</v>
      </c>
      <c r="N81" s="4">
        <f t="shared" si="4"/>
        <v>0</v>
      </c>
      <c r="O81" s="65">
        <f t="shared" si="5"/>
        <v>0</v>
      </c>
    </row>
    <row r="82" spans="1:15" ht="14.4" x14ac:dyDescent="0.3">
      <c r="A82" s="6">
        <v>46146</v>
      </c>
      <c r="B82" s="49" t="s">
        <v>4</v>
      </c>
      <c r="C82" s="4">
        <v>9</v>
      </c>
      <c r="D82" s="2">
        <f>VLOOKUP(B82,[1]lantai9!$B:$G,6,FALSE)</f>
        <v>35000</v>
      </c>
      <c r="E82" s="2">
        <f>VLOOKUP(B82,karyawan!B:D,3,FALSE)</f>
        <v>34000</v>
      </c>
      <c r="F82" s="2" t="str">
        <f>VLOOKUP(B82,karyawan!B:E,4,FALSE)</f>
        <v>Florida</v>
      </c>
      <c r="G82" s="3">
        <v>5</v>
      </c>
      <c r="H82" s="3"/>
      <c r="I82" s="4">
        <v>0</v>
      </c>
      <c r="J82" s="5">
        <f t="shared" si="3"/>
        <v>5</v>
      </c>
      <c r="K82" s="4">
        <v>0</v>
      </c>
      <c r="L82" s="4">
        <v>0</v>
      </c>
      <c r="M82" s="4">
        <v>0</v>
      </c>
      <c r="N82" s="4">
        <f t="shared" si="4"/>
        <v>0</v>
      </c>
      <c r="O82" s="65">
        <f t="shared" si="5"/>
        <v>0</v>
      </c>
    </row>
    <row r="83" spans="1:15" ht="14.4" x14ac:dyDescent="0.3">
      <c r="A83" s="6">
        <v>46146</v>
      </c>
      <c r="B83" s="49" t="s">
        <v>13</v>
      </c>
      <c r="C83" s="4">
        <v>9</v>
      </c>
      <c r="D83" s="2">
        <f>VLOOKUP(B83,[1]lantai9!$B:$G,6,FALSE)</f>
        <v>23000</v>
      </c>
      <c r="E83" s="2">
        <f>VLOOKUP(B83,karyawan!B:D,3,FALSE)</f>
        <v>22000</v>
      </c>
      <c r="F83" s="2" t="str">
        <f>VLOOKUP(B83,karyawan!B:E,4,FALSE)</f>
        <v>Yohannes</v>
      </c>
      <c r="G83" s="3">
        <v>6</v>
      </c>
      <c r="H83" s="3"/>
      <c r="I83" s="3">
        <v>6</v>
      </c>
      <c r="J83" s="5">
        <f t="shared" si="3"/>
        <v>6</v>
      </c>
      <c r="K83" s="41">
        <v>0</v>
      </c>
      <c r="L83" s="4">
        <v>1</v>
      </c>
      <c r="M83" s="4">
        <v>0</v>
      </c>
      <c r="N83" s="4">
        <f t="shared" si="4"/>
        <v>6</v>
      </c>
      <c r="O83" s="65">
        <f t="shared" si="5"/>
        <v>138000</v>
      </c>
    </row>
    <row r="84" spans="1:15" ht="14.4" x14ac:dyDescent="0.3">
      <c r="A84" s="6">
        <v>46146</v>
      </c>
      <c r="B84" s="49" t="s">
        <v>12</v>
      </c>
      <c r="C84" s="4">
        <v>9</v>
      </c>
      <c r="D84" s="2">
        <f>VLOOKUP(B84,[1]lantai9!$B:$G,6,FALSE)</f>
        <v>21000</v>
      </c>
      <c r="E84" s="2">
        <f>VLOOKUP(B84,karyawan!B:D,3,FALSE)</f>
        <v>20000</v>
      </c>
      <c r="F84" s="2" t="str">
        <f>VLOOKUP(B84,karyawan!B:E,4,FALSE)</f>
        <v>Damaz</v>
      </c>
      <c r="G84" s="3">
        <v>2</v>
      </c>
      <c r="H84" s="3"/>
      <c r="I84" s="4">
        <v>2</v>
      </c>
      <c r="J84" s="5">
        <f t="shared" si="3"/>
        <v>0</v>
      </c>
      <c r="K84" s="4">
        <v>0</v>
      </c>
      <c r="L84" s="4">
        <v>2</v>
      </c>
      <c r="M84" s="4">
        <v>2</v>
      </c>
      <c r="N84" s="4">
        <f t="shared" si="4"/>
        <v>0</v>
      </c>
      <c r="O84" s="65">
        <f t="shared" si="5"/>
        <v>0</v>
      </c>
    </row>
    <row r="85" spans="1:15" ht="14.4" x14ac:dyDescent="0.3">
      <c r="A85" s="6">
        <v>46146</v>
      </c>
      <c r="B85" s="49" t="s">
        <v>11</v>
      </c>
      <c r="C85" s="4">
        <v>9</v>
      </c>
      <c r="D85" s="2">
        <f>VLOOKUP(B85,[1]lantai9!$B:$G,6,FALSE)</f>
        <v>36000</v>
      </c>
      <c r="E85" s="2">
        <f>VLOOKUP(B85,karyawan!B:D,3,FALSE)</f>
        <v>35000</v>
      </c>
      <c r="F85" s="2" t="str">
        <f>VLOOKUP(B85,karyawan!B:E,4,FALSE)</f>
        <v>Damaz</v>
      </c>
      <c r="G85" s="3">
        <v>3</v>
      </c>
      <c r="H85" s="3"/>
      <c r="I85" s="4">
        <v>1</v>
      </c>
      <c r="J85" s="5">
        <f t="shared" si="3"/>
        <v>2</v>
      </c>
      <c r="K85" s="4">
        <v>0</v>
      </c>
      <c r="L85" s="4">
        <v>1</v>
      </c>
      <c r="M85" s="4">
        <v>1</v>
      </c>
      <c r="N85" s="4">
        <f t="shared" si="4"/>
        <v>0</v>
      </c>
      <c r="O85" s="65">
        <f t="shared" si="5"/>
        <v>0</v>
      </c>
    </row>
    <row r="86" spans="1:15" ht="14.4" x14ac:dyDescent="0.3">
      <c r="A86" s="6">
        <v>46146</v>
      </c>
      <c r="B86" s="49" t="s">
        <v>14</v>
      </c>
      <c r="C86" s="4">
        <v>9</v>
      </c>
      <c r="D86" s="2">
        <f>VLOOKUP(B86,[1]lantai9!$B:$G,6,FALSE)</f>
        <v>23000</v>
      </c>
      <c r="E86" s="2">
        <f>VLOOKUP(B86,karyawan!B:D,3,FALSE)</f>
        <v>22000</v>
      </c>
      <c r="F86" s="2" t="str">
        <f>VLOOKUP(B86,karyawan!B:E,4,FALSE)</f>
        <v>Vale</v>
      </c>
      <c r="G86" s="3">
        <v>5</v>
      </c>
      <c r="H86" s="3"/>
      <c r="I86" s="4">
        <v>0</v>
      </c>
      <c r="J86" s="5">
        <f t="shared" si="3"/>
        <v>5</v>
      </c>
      <c r="K86" s="4">
        <v>0</v>
      </c>
      <c r="L86" s="4">
        <v>0</v>
      </c>
      <c r="M86" s="4">
        <v>0</v>
      </c>
      <c r="N86" s="4">
        <f t="shared" si="4"/>
        <v>0</v>
      </c>
      <c r="O86" s="65">
        <f t="shared" si="5"/>
        <v>0</v>
      </c>
    </row>
    <row r="87" spans="1:15" ht="14.4" x14ac:dyDescent="0.3">
      <c r="A87" s="6">
        <v>46146</v>
      </c>
      <c r="B87" s="49" t="s">
        <v>7</v>
      </c>
      <c r="C87" s="4">
        <v>9</v>
      </c>
      <c r="D87" s="2">
        <f>VLOOKUP(B87,[1]lantai9!$B:$G,6,FALSE)</f>
        <v>15000</v>
      </c>
      <c r="E87" s="2">
        <f>VLOOKUP(B87,karyawan!B:D,3,FALSE)</f>
        <v>14000</v>
      </c>
      <c r="F87" s="2" t="str">
        <f>VLOOKUP(B87,karyawan!B:E,4,FALSE)</f>
        <v>Desy</v>
      </c>
      <c r="G87" s="3">
        <v>6</v>
      </c>
      <c r="H87" s="3"/>
      <c r="I87" s="3">
        <v>6</v>
      </c>
      <c r="J87" s="5">
        <f t="shared" si="3"/>
        <v>2</v>
      </c>
      <c r="K87" s="41">
        <v>0</v>
      </c>
      <c r="L87" s="3">
        <v>3</v>
      </c>
      <c r="M87" s="3">
        <v>4</v>
      </c>
      <c r="N87" s="4">
        <f t="shared" si="4"/>
        <v>2</v>
      </c>
      <c r="O87" s="65">
        <f t="shared" si="5"/>
        <v>30000</v>
      </c>
    </row>
    <row r="88" spans="1:15" ht="14.4" x14ac:dyDescent="0.3">
      <c r="A88" s="6">
        <v>46146</v>
      </c>
      <c r="B88" s="49" t="s">
        <v>16</v>
      </c>
      <c r="C88" s="4">
        <v>9</v>
      </c>
      <c r="D88" s="2">
        <f>VLOOKUP(B88,[1]lantai9!$B:$G,6,FALSE)</f>
        <v>18000</v>
      </c>
      <c r="E88" s="2">
        <f>VLOOKUP(B88,karyawan!B:D,3,FALSE)</f>
        <v>17000</v>
      </c>
      <c r="F88" s="2" t="str">
        <f>VLOOKUP(B88,karyawan!B:E,4,FALSE)</f>
        <v>Geby</v>
      </c>
      <c r="G88" s="3">
        <v>6</v>
      </c>
      <c r="H88" s="3"/>
      <c r="I88" s="3">
        <v>6</v>
      </c>
      <c r="J88" s="5">
        <f t="shared" si="3"/>
        <v>5</v>
      </c>
      <c r="K88" s="41">
        <v>0</v>
      </c>
      <c r="L88" s="4">
        <v>1</v>
      </c>
      <c r="M88" s="4">
        <v>1</v>
      </c>
      <c r="N88" s="4">
        <f t="shared" si="4"/>
        <v>5</v>
      </c>
      <c r="O88" s="65">
        <f t="shared" si="5"/>
        <v>90000</v>
      </c>
    </row>
    <row r="89" spans="1:15" ht="14.4" x14ac:dyDescent="0.3">
      <c r="A89" s="6">
        <v>46146</v>
      </c>
      <c r="B89" s="49" t="s">
        <v>6</v>
      </c>
      <c r="C89" s="4">
        <v>9</v>
      </c>
      <c r="D89" s="2">
        <f>VLOOKUP(B89,[1]lantai9!$B:$G,6,FALSE)</f>
        <v>21000</v>
      </c>
      <c r="E89" s="2">
        <f>VLOOKUP(B89,karyawan!B:D,3,FALSE)</f>
        <v>20000</v>
      </c>
      <c r="F89" s="2" t="str">
        <f>VLOOKUP(B89,karyawan!B:E,4,FALSE)</f>
        <v>Geby</v>
      </c>
      <c r="G89" s="3">
        <v>2</v>
      </c>
      <c r="H89" s="3"/>
      <c r="I89" s="3">
        <v>2</v>
      </c>
      <c r="J89" s="5">
        <f t="shared" si="3"/>
        <v>2</v>
      </c>
      <c r="K89" s="41">
        <v>0</v>
      </c>
      <c r="L89" s="4">
        <v>0</v>
      </c>
      <c r="M89" s="4">
        <v>0</v>
      </c>
      <c r="N89" s="4">
        <f t="shared" si="4"/>
        <v>2</v>
      </c>
      <c r="O89" s="65">
        <f t="shared" si="5"/>
        <v>42000</v>
      </c>
    </row>
    <row r="90" spans="1:15" ht="14.4" x14ac:dyDescent="0.3">
      <c r="A90" s="6">
        <v>46146</v>
      </c>
      <c r="B90" s="49" t="s">
        <v>20</v>
      </c>
      <c r="C90" s="4">
        <v>9</v>
      </c>
      <c r="D90" s="2">
        <f>VLOOKUP(B90,[1]lantai9!$B:$G,6,FALSE)</f>
        <v>35000</v>
      </c>
      <c r="E90" s="2">
        <f>VLOOKUP(B90,karyawan!B:D,3,FALSE)</f>
        <v>34000</v>
      </c>
      <c r="F90" s="2" t="str">
        <f>VLOOKUP(B90,karyawan!B:E,4,FALSE)</f>
        <v>Sherly</v>
      </c>
      <c r="G90" s="3">
        <v>2</v>
      </c>
      <c r="H90" s="3"/>
      <c r="I90" s="3">
        <v>2</v>
      </c>
      <c r="J90" s="5">
        <f t="shared" si="3"/>
        <v>0</v>
      </c>
      <c r="K90" s="41">
        <v>0</v>
      </c>
      <c r="L90" s="4">
        <v>2</v>
      </c>
      <c r="M90" s="4">
        <v>2</v>
      </c>
      <c r="N90" s="4">
        <f t="shared" si="4"/>
        <v>0</v>
      </c>
      <c r="O90" s="65">
        <f t="shared" si="5"/>
        <v>0</v>
      </c>
    </row>
    <row r="91" spans="1:15" ht="14.4" x14ac:dyDescent="0.3">
      <c r="A91" s="6">
        <v>46146</v>
      </c>
      <c r="B91" s="49" t="s">
        <v>21</v>
      </c>
      <c r="C91" s="4">
        <v>9</v>
      </c>
      <c r="D91" s="2">
        <f>VLOOKUP(B91,[1]lantai9!$B:$G,6,FALSE)</f>
        <v>40000</v>
      </c>
      <c r="E91" s="2">
        <f>VLOOKUP(B91,karyawan!B:D,3,FALSE)</f>
        <v>39000</v>
      </c>
      <c r="F91" s="2" t="str">
        <f>VLOOKUP(B91,karyawan!B:E,4,FALSE)</f>
        <v>Sherly</v>
      </c>
      <c r="G91" s="3">
        <v>4</v>
      </c>
      <c r="H91" s="3"/>
      <c r="I91" s="3">
        <v>4</v>
      </c>
      <c r="J91" s="5">
        <f t="shared" si="3"/>
        <v>0</v>
      </c>
      <c r="K91" s="41">
        <v>0</v>
      </c>
      <c r="L91" s="4">
        <v>4</v>
      </c>
      <c r="M91" s="4">
        <v>4</v>
      </c>
      <c r="N91" s="4">
        <f t="shared" si="4"/>
        <v>0</v>
      </c>
      <c r="O91" s="65">
        <f t="shared" si="5"/>
        <v>0</v>
      </c>
    </row>
    <row r="92" spans="1:15" ht="14.4" x14ac:dyDescent="0.3">
      <c r="A92" s="6">
        <v>46146</v>
      </c>
      <c r="B92" s="49" t="s">
        <v>19</v>
      </c>
      <c r="C92" s="4">
        <v>9</v>
      </c>
      <c r="D92" s="2">
        <f>VLOOKUP(B92,[1]lantai9!$B:$G,6,FALSE)</f>
        <v>2500</v>
      </c>
      <c r="E92" s="2">
        <f>VLOOKUP(B92,karyawan!B:D,3,FALSE)</f>
        <v>1480</v>
      </c>
      <c r="F92" s="2" t="str">
        <f>VLOOKUP(B92,karyawan!B:E,4,FALSE)</f>
        <v>Compliance</v>
      </c>
      <c r="G92" s="3">
        <v>12</v>
      </c>
      <c r="H92" s="3"/>
      <c r="I92" s="4">
        <v>11</v>
      </c>
      <c r="J92" s="5">
        <f t="shared" si="3"/>
        <v>4</v>
      </c>
      <c r="K92" s="4">
        <v>0</v>
      </c>
      <c r="L92" s="4">
        <v>8</v>
      </c>
      <c r="M92" s="4">
        <v>8</v>
      </c>
      <c r="N92" s="4">
        <f t="shared" si="4"/>
        <v>3</v>
      </c>
      <c r="O92" s="65">
        <f t="shared" si="5"/>
        <v>7500</v>
      </c>
    </row>
    <row r="93" spans="1:15" ht="14.4" x14ac:dyDescent="0.3">
      <c r="A93" s="6">
        <v>46146</v>
      </c>
      <c r="B93" s="49" t="s">
        <v>17</v>
      </c>
      <c r="C93" s="4">
        <v>9</v>
      </c>
      <c r="D93" s="2">
        <f>VLOOKUP(B93,[1]lantai9!$B:$G,6,FALSE)</f>
        <v>2000</v>
      </c>
      <c r="E93" s="2">
        <f>VLOOKUP(B93,karyawan!B:D,3,FALSE)</f>
        <v>1074</v>
      </c>
      <c r="F93" s="2" t="str">
        <f>VLOOKUP(B93,karyawan!B:E,4,FALSE)</f>
        <v>Compliance</v>
      </c>
      <c r="G93" s="3">
        <v>10</v>
      </c>
      <c r="H93" s="3"/>
      <c r="I93" s="3">
        <v>10</v>
      </c>
      <c r="J93" s="5">
        <f t="shared" si="3"/>
        <v>6</v>
      </c>
      <c r="K93" s="41">
        <v>0</v>
      </c>
      <c r="L93" s="4">
        <v>4</v>
      </c>
      <c r="M93" s="4">
        <v>4</v>
      </c>
      <c r="N93" s="4">
        <f t="shared" si="4"/>
        <v>6</v>
      </c>
      <c r="O93" s="65">
        <f t="shared" si="5"/>
        <v>12000</v>
      </c>
    </row>
    <row r="94" spans="1:15" ht="14.4" x14ac:dyDescent="0.3">
      <c r="A94" s="6">
        <v>46146</v>
      </c>
      <c r="B94" s="49" t="s">
        <v>5</v>
      </c>
      <c r="C94" s="4">
        <v>9</v>
      </c>
      <c r="D94" s="2">
        <f>VLOOKUP(B94,[1]lantai9!$B:$G,6,FALSE)</f>
        <v>2500</v>
      </c>
      <c r="E94" s="2">
        <f>VLOOKUP(B94,karyawan!B:D,3,FALSE)</f>
        <v>1465</v>
      </c>
      <c r="F94" s="2" t="str">
        <f>VLOOKUP(B94,karyawan!B:E,4,FALSE)</f>
        <v>Compliance</v>
      </c>
      <c r="G94" s="3">
        <v>10</v>
      </c>
      <c r="H94" s="3"/>
      <c r="I94" s="4">
        <v>9</v>
      </c>
      <c r="J94" s="5">
        <f t="shared" si="3"/>
        <v>3</v>
      </c>
      <c r="K94" s="4">
        <v>0</v>
      </c>
      <c r="L94" s="3">
        <v>7</v>
      </c>
      <c r="M94" s="3">
        <v>7</v>
      </c>
      <c r="N94" s="4">
        <f t="shared" si="4"/>
        <v>2</v>
      </c>
      <c r="O94" s="65">
        <f t="shared" si="5"/>
        <v>5000</v>
      </c>
    </row>
    <row r="95" spans="1:15" ht="14.4" x14ac:dyDescent="0.3">
      <c r="A95" s="6">
        <v>46146</v>
      </c>
      <c r="B95" s="49" t="s">
        <v>3</v>
      </c>
      <c r="C95" s="4">
        <v>9</v>
      </c>
      <c r="D95" s="2">
        <f>VLOOKUP(B95,[1]lantai9!$B:$G,6,FALSE)</f>
        <v>10000</v>
      </c>
      <c r="E95" s="2">
        <f>VLOOKUP(B95,karyawan!B:D,3,FALSE)</f>
        <v>9200</v>
      </c>
      <c r="F95" s="2" t="str">
        <f>VLOOKUP(B95,karyawan!B:E,4,FALSE)</f>
        <v>Compliance</v>
      </c>
      <c r="G95" s="3">
        <v>15</v>
      </c>
      <c r="H95" s="3"/>
      <c r="I95" s="4">
        <v>14</v>
      </c>
      <c r="J95" s="5">
        <f t="shared" si="3"/>
        <v>4</v>
      </c>
      <c r="K95" s="4">
        <v>0</v>
      </c>
      <c r="L95" s="4">
        <v>11</v>
      </c>
      <c r="M95" s="4">
        <v>11</v>
      </c>
      <c r="N95" s="4">
        <f t="shared" si="4"/>
        <v>3</v>
      </c>
      <c r="O95" s="65">
        <f t="shared" si="5"/>
        <v>30000</v>
      </c>
    </row>
    <row r="96" spans="1:15" ht="14.4" x14ac:dyDescent="0.3">
      <c r="A96" s="6">
        <v>46146</v>
      </c>
      <c r="B96" s="49" t="s">
        <v>18</v>
      </c>
      <c r="C96" s="4">
        <v>9</v>
      </c>
      <c r="D96" s="2">
        <f>VLOOKUP(B96,[1]lantai9!$B:$G,6,FALSE)</f>
        <v>15000</v>
      </c>
      <c r="E96" s="2">
        <f>VLOOKUP(B96,karyawan!B:D,3,FALSE)</f>
        <v>13807</v>
      </c>
      <c r="F96" s="2" t="str">
        <f>VLOOKUP(B96,karyawan!B:E,4,FALSE)</f>
        <v>Compliance</v>
      </c>
      <c r="G96" s="3">
        <v>10</v>
      </c>
      <c r="H96" s="3"/>
      <c r="I96" s="4">
        <v>2</v>
      </c>
      <c r="J96" s="5">
        <f t="shared" si="3"/>
        <v>10</v>
      </c>
      <c r="K96" s="4">
        <v>0</v>
      </c>
      <c r="L96" s="4">
        <v>1</v>
      </c>
      <c r="M96" s="4">
        <v>0</v>
      </c>
      <c r="N96" s="4">
        <f t="shared" si="4"/>
        <v>2</v>
      </c>
      <c r="O96" s="65">
        <f t="shared" si="5"/>
        <v>30000</v>
      </c>
    </row>
    <row r="97" spans="1:15" ht="14.4" x14ac:dyDescent="0.3">
      <c r="A97" s="6">
        <v>46146</v>
      </c>
      <c r="B97" s="49" t="s">
        <v>10</v>
      </c>
      <c r="C97" s="4">
        <v>9</v>
      </c>
      <c r="D97" s="2">
        <f>VLOOKUP(B97,[1]lantai9!$B:$G,6,FALSE)</f>
        <v>23000</v>
      </c>
      <c r="E97" s="2">
        <f>VLOOKUP(B97,karyawan!B:D,3,FALSE)</f>
        <v>21760</v>
      </c>
      <c r="F97" s="2" t="str">
        <f>VLOOKUP(B97,karyawan!B:E,4,FALSE)</f>
        <v>Compliance</v>
      </c>
      <c r="G97" s="3">
        <v>7</v>
      </c>
      <c r="H97" s="3"/>
      <c r="I97" s="4">
        <v>6</v>
      </c>
      <c r="J97" s="5">
        <f t="shared" si="3"/>
        <v>2</v>
      </c>
      <c r="K97" s="4">
        <v>0</v>
      </c>
      <c r="L97" s="4">
        <v>5</v>
      </c>
      <c r="M97" s="4">
        <v>5</v>
      </c>
      <c r="N97" s="4">
        <f t="shared" si="4"/>
        <v>1</v>
      </c>
      <c r="O97" s="65">
        <f t="shared" si="5"/>
        <v>23000</v>
      </c>
    </row>
    <row r="98" spans="1:15" ht="14.4" x14ac:dyDescent="0.3">
      <c r="A98" s="6">
        <v>46147</v>
      </c>
      <c r="B98" s="49" t="s">
        <v>4</v>
      </c>
      <c r="C98" s="4">
        <v>3</v>
      </c>
      <c r="D98" s="2">
        <f>VLOOKUP(B98,[1]lantai9!$B:$G,6,FALSE)</f>
        <v>35000</v>
      </c>
      <c r="E98" s="2">
        <f>VLOOKUP(B98,karyawan!B:D,3,FALSE)</f>
        <v>34000</v>
      </c>
      <c r="F98" s="2" t="str">
        <f>VLOOKUP(B98,karyawan!B:E,4,FALSE)</f>
        <v>Florida</v>
      </c>
      <c r="G98" s="3">
        <v>5</v>
      </c>
      <c r="H98" s="3"/>
      <c r="I98" s="4">
        <v>0</v>
      </c>
      <c r="J98" s="5">
        <f t="shared" si="3"/>
        <v>5</v>
      </c>
      <c r="K98" s="4">
        <v>0</v>
      </c>
      <c r="L98" s="4">
        <v>0</v>
      </c>
      <c r="M98" s="4">
        <v>0</v>
      </c>
      <c r="N98" s="4">
        <f t="shared" si="4"/>
        <v>0</v>
      </c>
      <c r="O98" s="65">
        <f t="shared" si="5"/>
        <v>0</v>
      </c>
    </row>
    <row r="99" spans="1:15" ht="14.4" x14ac:dyDescent="0.3">
      <c r="A99" s="6">
        <v>46147</v>
      </c>
      <c r="B99" s="49" t="s">
        <v>13</v>
      </c>
      <c r="C99" s="4">
        <v>3</v>
      </c>
      <c r="D99" s="2">
        <f>VLOOKUP(B99,[1]lantai9!$B:$G,6,FALSE)</f>
        <v>23000</v>
      </c>
      <c r="E99" s="2">
        <f>VLOOKUP(B99,karyawan!B:D,3,FALSE)</f>
        <v>22000</v>
      </c>
      <c r="F99" s="2" t="str">
        <f>VLOOKUP(B99,karyawan!B:E,4,FALSE)</f>
        <v>Yohannes</v>
      </c>
      <c r="G99" s="3">
        <v>6</v>
      </c>
      <c r="H99" s="3"/>
      <c r="I99" s="4">
        <v>6</v>
      </c>
      <c r="J99" s="5">
        <f t="shared" si="3"/>
        <v>3</v>
      </c>
      <c r="K99" s="4">
        <v>0</v>
      </c>
      <c r="L99" s="4">
        <v>5</v>
      </c>
      <c r="M99" s="4">
        <v>3</v>
      </c>
      <c r="N99" s="4">
        <f t="shared" si="4"/>
        <v>3</v>
      </c>
      <c r="O99" s="65">
        <f t="shared" si="5"/>
        <v>69000</v>
      </c>
    </row>
    <row r="100" spans="1:15" ht="14.4" x14ac:dyDescent="0.3">
      <c r="A100" s="6">
        <v>46147</v>
      </c>
      <c r="B100" s="49" t="s">
        <v>12</v>
      </c>
      <c r="C100" s="4">
        <v>3</v>
      </c>
      <c r="D100" s="2">
        <f>VLOOKUP(B100,[1]lantai9!$B:$G,6,FALSE)</f>
        <v>21000</v>
      </c>
      <c r="E100" s="2">
        <f>VLOOKUP(B100,karyawan!B:D,3,FALSE)</f>
        <v>20000</v>
      </c>
      <c r="F100" s="2" t="str">
        <f>VLOOKUP(B100,karyawan!B:E,4,FALSE)</f>
        <v>Damaz</v>
      </c>
      <c r="G100" s="3">
        <v>2</v>
      </c>
      <c r="H100" s="3"/>
      <c r="I100" s="4">
        <v>2</v>
      </c>
      <c r="J100" s="5">
        <f t="shared" si="3"/>
        <v>0</v>
      </c>
      <c r="K100" s="4">
        <v>0</v>
      </c>
      <c r="L100" s="4">
        <v>2</v>
      </c>
      <c r="M100" s="4">
        <v>2</v>
      </c>
      <c r="N100" s="4">
        <f t="shared" si="4"/>
        <v>0</v>
      </c>
      <c r="O100" s="65">
        <f t="shared" si="5"/>
        <v>0</v>
      </c>
    </row>
    <row r="101" spans="1:15" ht="14.4" x14ac:dyDescent="0.3">
      <c r="A101" s="6">
        <v>46147</v>
      </c>
      <c r="B101" s="49" t="s">
        <v>11</v>
      </c>
      <c r="C101" s="4">
        <v>3</v>
      </c>
      <c r="D101" s="2">
        <f>VLOOKUP(B101,[1]lantai9!$B:$G,6,FALSE)</f>
        <v>36000</v>
      </c>
      <c r="E101" s="2">
        <f>VLOOKUP(B101,karyawan!B:D,3,FALSE)</f>
        <v>35000</v>
      </c>
      <c r="F101" s="2" t="str">
        <f>VLOOKUP(B101,karyawan!B:E,4,FALSE)</f>
        <v>Damaz</v>
      </c>
      <c r="G101" s="3">
        <v>3</v>
      </c>
      <c r="H101" s="3"/>
      <c r="I101" s="4">
        <v>3</v>
      </c>
      <c r="J101" s="5">
        <f t="shared" si="3"/>
        <v>0</v>
      </c>
      <c r="K101" s="4">
        <v>0</v>
      </c>
      <c r="L101" s="4">
        <v>3</v>
      </c>
      <c r="M101" s="4">
        <v>3</v>
      </c>
      <c r="N101" s="4">
        <f t="shared" si="4"/>
        <v>0</v>
      </c>
      <c r="O101" s="65">
        <f t="shared" si="5"/>
        <v>0</v>
      </c>
    </row>
    <row r="102" spans="1:15" ht="14.4" x14ac:dyDescent="0.3">
      <c r="A102" s="6">
        <v>46147</v>
      </c>
      <c r="B102" s="49" t="s">
        <v>14</v>
      </c>
      <c r="C102" s="4">
        <v>3</v>
      </c>
      <c r="D102" s="2">
        <f>VLOOKUP(B102,[1]lantai9!$B:$G,6,FALSE)</f>
        <v>23000</v>
      </c>
      <c r="E102" s="2">
        <f>VLOOKUP(B102,karyawan!B:D,3,FALSE)</f>
        <v>22000</v>
      </c>
      <c r="F102" s="2" t="str">
        <f>VLOOKUP(B102,karyawan!B:E,4,FALSE)</f>
        <v>Vale</v>
      </c>
      <c r="G102" s="3">
        <v>5</v>
      </c>
      <c r="H102" s="3"/>
      <c r="I102" s="4">
        <v>0</v>
      </c>
      <c r="J102" s="5">
        <f t="shared" si="3"/>
        <v>5</v>
      </c>
      <c r="K102" s="4">
        <v>0</v>
      </c>
      <c r="L102" s="4">
        <v>0</v>
      </c>
      <c r="M102" s="4">
        <v>0</v>
      </c>
      <c r="N102" s="4">
        <f t="shared" si="4"/>
        <v>0</v>
      </c>
      <c r="O102" s="65">
        <f t="shared" si="5"/>
        <v>0</v>
      </c>
    </row>
    <row r="103" spans="1:15" ht="14.4" x14ac:dyDescent="0.3">
      <c r="A103" s="6">
        <v>46147</v>
      </c>
      <c r="B103" s="49" t="s">
        <v>7</v>
      </c>
      <c r="C103" s="4">
        <v>3</v>
      </c>
      <c r="D103" s="2">
        <f>VLOOKUP(B103,[1]lantai9!$B:$G,6,FALSE)</f>
        <v>15000</v>
      </c>
      <c r="E103" s="2">
        <f>VLOOKUP(B103,karyawan!B:D,3,FALSE)</f>
        <v>14000</v>
      </c>
      <c r="F103" s="2" t="str">
        <f>VLOOKUP(B103,karyawan!B:E,4,FALSE)</f>
        <v>Desy</v>
      </c>
      <c r="G103" s="3">
        <v>6</v>
      </c>
      <c r="H103" s="3"/>
      <c r="I103" s="4">
        <v>5</v>
      </c>
      <c r="J103" s="5">
        <f t="shared" si="3"/>
        <v>3</v>
      </c>
      <c r="K103" s="4">
        <v>0</v>
      </c>
      <c r="L103" s="4">
        <v>0</v>
      </c>
      <c r="M103" s="4">
        <v>3</v>
      </c>
      <c r="N103" s="4">
        <f t="shared" si="4"/>
        <v>2</v>
      </c>
      <c r="O103" s="65">
        <f t="shared" si="5"/>
        <v>30000</v>
      </c>
    </row>
    <row r="104" spans="1:15" ht="14.4" x14ac:dyDescent="0.3">
      <c r="A104" s="6">
        <v>46147</v>
      </c>
      <c r="B104" s="49" t="s">
        <v>16</v>
      </c>
      <c r="C104" s="4">
        <v>3</v>
      </c>
      <c r="D104" s="2">
        <f>VLOOKUP(B104,[1]lantai9!$B:$G,6,FALSE)</f>
        <v>18000</v>
      </c>
      <c r="E104" s="2">
        <f>VLOOKUP(B104,karyawan!B:D,3,FALSE)</f>
        <v>17000</v>
      </c>
      <c r="F104" s="2" t="str">
        <f>VLOOKUP(B104,karyawan!B:E,4,FALSE)</f>
        <v>Geby</v>
      </c>
      <c r="G104" s="3">
        <v>6</v>
      </c>
      <c r="H104" s="3"/>
      <c r="I104" s="4">
        <v>5</v>
      </c>
      <c r="J104" s="5">
        <f t="shared" si="3"/>
        <v>3</v>
      </c>
      <c r="K104" s="4">
        <v>0</v>
      </c>
      <c r="L104" s="4">
        <v>5</v>
      </c>
      <c r="M104" s="4">
        <v>3</v>
      </c>
      <c r="N104" s="4">
        <f t="shared" si="4"/>
        <v>2</v>
      </c>
      <c r="O104" s="65">
        <f t="shared" si="5"/>
        <v>36000</v>
      </c>
    </row>
    <row r="105" spans="1:15" ht="14.4" x14ac:dyDescent="0.3">
      <c r="A105" s="6">
        <v>46147</v>
      </c>
      <c r="B105" s="49" t="s">
        <v>6</v>
      </c>
      <c r="C105" s="4">
        <v>3</v>
      </c>
      <c r="D105" s="2">
        <f>VLOOKUP(B105,[1]lantai9!$B:$G,6,FALSE)</f>
        <v>21000</v>
      </c>
      <c r="E105" s="2">
        <f>VLOOKUP(B105,karyawan!B:D,3,FALSE)</f>
        <v>20000</v>
      </c>
      <c r="F105" s="2" t="str">
        <f>VLOOKUP(B105,karyawan!B:E,4,FALSE)</f>
        <v>Geby</v>
      </c>
      <c r="G105" s="3">
        <v>2</v>
      </c>
      <c r="H105" s="3"/>
      <c r="I105" s="4">
        <v>1</v>
      </c>
      <c r="J105" s="5">
        <f t="shared" si="3"/>
        <v>1</v>
      </c>
      <c r="K105" s="4">
        <v>0</v>
      </c>
      <c r="L105" s="4">
        <v>1</v>
      </c>
      <c r="M105" s="4">
        <v>1</v>
      </c>
      <c r="N105" s="4">
        <f t="shared" si="4"/>
        <v>0</v>
      </c>
      <c r="O105" s="65">
        <f t="shared" si="5"/>
        <v>0</v>
      </c>
    </row>
    <row r="106" spans="1:15" ht="14.4" x14ac:dyDescent="0.3">
      <c r="A106" s="6">
        <v>46147</v>
      </c>
      <c r="B106" s="49" t="s">
        <v>20</v>
      </c>
      <c r="C106" s="4">
        <v>3</v>
      </c>
      <c r="D106" s="2">
        <f>VLOOKUP(B106,[1]lantai9!$B:$G,6,FALSE)</f>
        <v>35000</v>
      </c>
      <c r="E106" s="2">
        <f>VLOOKUP(B106,karyawan!B:D,3,FALSE)</f>
        <v>34000</v>
      </c>
      <c r="F106" s="2" t="str">
        <f>VLOOKUP(B106,karyawan!B:E,4,FALSE)</f>
        <v>Sherly</v>
      </c>
      <c r="G106" s="3">
        <v>2</v>
      </c>
      <c r="H106" s="3"/>
      <c r="I106" s="4">
        <v>2</v>
      </c>
      <c r="J106" s="5">
        <f t="shared" si="3"/>
        <v>0</v>
      </c>
      <c r="K106" s="4">
        <v>0</v>
      </c>
      <c r="L106" s="4">
        <v>3</v>
      </c>
      <c r="M106" s="4">
        <v>2</v>
      </c>
      <c r="N106" s="4">
        <f t="shared" si="4"/>
        <v>0</v>
      </c>
      <c r="O106" s="65">
        <f t="shared" si="5"/>
        <v>0</v>
      </c>
    </row>
    <row r="107" spans="1:15" ht="14.4" x14ac:dyDescent="0.3">
      <c r="A107" s="6">
        <v>46147</v>
      </c>
      <c r="B107" s="49" t="s">
        <v>21</v>
      </c>
      <c r="C107" s="4">
        <v>3</v>
      </c>
      <c r="D107" s="2">
        <f>VLOOKUP(B107,[1]lantai9!$B:$G,6,FALSE)</f>
        <v>40000</v>
      </c>
      <c r="E107" s="2">
        <f>VLOOKUP(B107,karyawan!B:D,3,FALSE)</f>
        <v>39000</v>
      </c>
      <c r="F107" s="2" t="str">
        <f>VLOOKUP(B107,karyawan!B:E,4,FALSE)</f>
        <v>Sherly</v>
      </c>
      <c r="G107" s="3">
        <v>4</v>
      </c>
      <c r="H107" s="3"/>
      <c r="I107" s="4">
        <v>3</v>
      </c>
      <c r="J107" s="5">
        <f t="shared" si="3"/>
        <v>2</v>
      </c>
      <c r="K107" s="4">
        <v>0</v>
      </c>
      <c r="L107" s="4">
        <v>2</v>
      </c>
      <c r="M107" s="4">
        <v>2</v>
      </c>
      <c r="N107" s="4">
        <f t="shared" si="4"/>
        <v>1</v>
      </c>
      <c r="O107" s="65">
        <f t="shared" si="5"/>
        <v>40000</v>
      </c>
    </row>
    <row r="108" spans="1:15" ht="14.4" x14ac:dyDescent="0.3">
      <c r="A108" s="6">
        <v>46147</v>
      </c>
      <c r="B108" s="49" t="s">
        <v>19</v>
      </c>
      <c r="C108" s="4">
        <v>3</v>
      </c>
      <c r="D108" s="2">
        <f>VLOOKUP(B108,[1]lantai9!$B:$G,6,FALSE)</f>
        <v>2500</v>
      </c>
      <c r="E108" s="2">
        <f>VLOOKUP(B108,karyawan!B:D,3,FALSE)</f>
        <v>1480</v>
      </c>
      <c r="F108" s="2" t="str">
        <f>VLOOKUP(B108,karyawan!B:E,4,FALSE)</f>
        <v>Compliance</v>
      </c>
      <c r="G108" s="3">
        <v>12</v>
      </c>
      <c r="H108" s="3"/>
      <c r="I108" s="4">
        <v>12</v>
      </c>
      <c r="J108" s="5">
        <f t="shared" si="3"/>
        <v>0</v>
      </c>
      <c r="K108" s="4">
        <v>0</v>
      </c>
      <c r="L108" s="4">
        <v>12</v>
      </c>
      <c r="M108" s="4">
        <v>12</v>
      </c>
      <c r="N108" s="4">
        <f t="shared" si="4"/>
        <v>0</v>
      </c>
      <c r="O108" s="65">
        <f t="shared" si="5"/>
        <v>0</v>
      </c>
    </row>
    <row r="109" spans="1:15" ht="14.4" x14ac:dyDescent="0.3">
      <c r="A109" s="6">
        <v>46147</v>
      </c>
      <c r="B109" s="49" t="s">
        <v>17</v>
      </c>
      <c r="C109" s="4">
        <v>3</v>
      </c>
      <c r="D109" s="2">
        <f>VLOOKUP(B109,[1]lantai9!$B:$G,6,FALSE)</f>
        <v>2000</v>
      </c>
      <c r="E109" s="2">
        <f>VLOOKUP(B109,karyawan!B:D,3,FALSE)</f>
        <v>1074</v>
      </c>
      <c r="F109" s="2" t="str">
        <f>VLOOKUP(B109,karyawan!B:E,4,FALSE)</f>
        <v>Compliance</v>
      </c>
      <c r="G109" s="3">
        <v>10</v>
      </c>
      <c r="H109" s="3"/>
      <c r="I109" s="4">
        <v>10</v>
      </c>
      <c r="J109" s="5">
        <f t="shared" si="3"/>
        <v>0</v>
      </c>
      <c r="K109" s="4">
        <v>0</v>
      </c>
      <c r="L109" s="4">
        <v>15</v>
      </c>
      <c r="M109" s="4">
        <v>10</v>
      </c>
      <c r="N109" s="4">
        <f t="shared" si="4"/>
        <v>0</v>
      </c>
      <c r="O109" s="65">
        <f t="shared" si="5"/>
        <v>0</v>
      </c>
    </row>
    <row r="110" spans="1:15" ht="14.4" x14ac:dyDescent="0.3">
      <c r="A110" s="6">
        <v>46147</v>
      </c>
      <c r="B110" s="49" t="s">
        <v>5</v>
      </c>
      <c r="C110" s="4">
        <v>3</v>
      </c>
      <c r="D110" s="2">
        <f>VLOOKUP(B110,[1]lantai9!$B:$G,6,FALSE)</f>
        <v>2500</v>
      </c>
      <c r="E110" s="2">
        <f>VLOOKUP(B110,karyawan!B:D,3,FALSE)</f>
        <v>1465</v>
      </c>
      <c r="F110" s="2" t="str">
        <f>VLOOKUP(B110,karyawan!B:E,4,FALSE)</f>
        <v>Compliance</v>
      </c>
      <c r="G110" s="3">
        <v>10</v>
      </c>
      <c r="H110" s="3"/>
      <c r="I110" s="4">
        <v>9</v>
      </c>
      <c r="J110" s="5">
        <f t="shared" si="3"/>
        <v>8</v>
      </c>
      <c r="K110" s="4">
        <v>0</v>
      </c>
      <c r="L110" s="4">
        <v>9</v>
      </c>
      <c r="M110" s="4">
        <v>2</v>
      </c>
      <c r="N110" s="4">
        <f t="shared" si="4"/>
        <v>7</v>
      </c>
      <c r="O110" s="65">
        <f t="shared" si="5"/>
        <v>17500</v>
      </c>
    </row>
    <row r="111" spans="1:15" ht="14.4" x14ac:dyDescent="0.3">
      <c r="A111" s="6">
        <v>46147</v>
      </c>
      <c r="B111" s="49" t="s">
        <v>3</v>
      </c>
      <c r="C111" s="4">
        <v>3</v>
      </c>
      <c r="D111" s="2">
        <f>VLOOKUP(B111,[1]lantai9!$B:$G,6,FALSE)</f>
        <v>10000</v>
      </c>
      <c r="E111" s="2">
        <f>VLOOKUP(B111,karyawan!B:D,3,FALSE)</f>
        <v>9200</v>
      </c>
      <c r="F111" s="2" t="str">
        <f>VLOOKUP(B111,karyawan!B:E,4,FALSE)</f>
        <v>Compliance</v>
      </c>
      <c r="G111" s="3">
        <v>15</v>
      </c>
      <c r="H111" s="3"/>
      <c r="I111" s="4">
        <v>13</v>
      </c>
      <c r="J111" s="5">
        <f t="shared" si="3"/>
        <v>2</v>
      </c>
      <c r="K111" s="4">
        <v>0</v>
      </c>
      <c r="L111" s="4">
        <v>13</v>
      </c>
      <c r="M111" s="4">
        <v>13</v>
      </c>
      <c r="N111" s="4">
        <f t="shared" si="4"/>
        <v>0</v>
      </c>
      <c r="O111" s="65">
        <f t="shared" si="5"/>
        <v>0</v>
      </c>
    </row>
    <row r="112" spans="1:15" ht="14.4" x14ac:dyDescent="0.3">
      <c r="A112" s="6">
        <v>46147</v>
      </c>
      <c r="B112" s="49" t="s">
        <v>18</v>
      </c>
      <c r="C112" s="4">
        <v>3</v>
      </c>
      <c r="D112" s="2">
        <f>VLOOKUP(B112,[1]lantai9!$B:$G,6,FALSE)</f>
        <v>15000</v>
      </c>
      <c r="E112" s="2">
        <f>VLOOKUP(B112,karyawan!B:D,3,FALSE)</f>
        <v>13807</v>
      </c>
      <c r="F112" s="2" t="str">
        <f>VLOOKUP(B112,karyawan!B:E,4,FALSE)</f>
        <v>Compliance</v>
      </c>
      <c r="G112" s="3">
        <v>10</v>
      </c>
      <c r="H112" s="3"/>
      <c r="I112" s="4">
        <v>2</v>
      </c>
      <c r="J112" s="5">
        <f t="shared" si="3"/>
        <v>8</v>
      </c>
      <c r="K112" s="4">
        <v>0</v>
      </c>
      <c r="L112" s="4">
        <v>4</v>
      </c>
      <c r="M112" s="4">
        <v>2</v>
      </c>
      <c r="N112" s="4">
        <f t="shared" si="4"/>
        <v>0</v>
      </c>
      <c r="O112" s="65">
        <f t="shared" si="5"/>
        <v>0</v>
      </c>
    </row>
    <row r="113" spans="1:15" ht="14.4" x14ac:dyDescent="0.3">
      <c r="A113" s="6">
        <v>46147</v>
      </c>
      <c r="B113" s="49" t="s">
        <v>10</v>
      </c>
      <c r="C113" s="4">
        <v>3</v>
      </c>
      <c r="D113" s="2">
        <f>VLOOKUP(B113,[1]lantai9!$B:$G,6,FALSE)</f>
        <v>23000</v>
      </c>
      <c r="E113" s="2">
        <f>VLOOKUP(B113,karyawan!B:D,3,FALSE)</f>
        <v>21760</v>
      </c>
      <c r="F113" s="2" t="str">
        <f>VLOOKUP(B113,karyawan!B:E,4,FALSE)</f>
        <v>Compliance</v>
      </c>
      <c r="G113" s="3">
        <v>7</v>
      </c>
      <c r="H113" s="3"/>
      <c r="I113" s="4">
        <v>5</v>
      </c>
      <c r="J113" s="5">
        <f t="shared" si="3"/>
        <v>2</v>
      </c>
      <c r="K113" s="4">
        <v>0</v>
      </c>
      <c r="L113" s="4">
        <v>6</v>
      </c>
      <c r="M113" s="4">
        <v>5</v>
      </c>
      <c r="N113" s="4">
        <f t="shared" si="4"/>
        <v>0</v>
      </c>
      <c r="O113" s="65">
        <f t="shared" si="5"/>
        <v>0</v>
      </c>
    </row>
    <row r="114" spans="1:15" ht="14.4" x14ac:dyDescent="0.3">
      <c r="A114" s="6">
        <v>46147</v>
      </c>
      <c r="B114" s="49" t="s">
        <v>4</v>
      </c>
      <c r="C114" s="4">
        <v>8</v>
      </c>
      <c r="D114" s="2">
        <f>VLOOKUP(B114,[1]lantai9!$B:$G,6,FALSE)</f>
        <v>35000</v>
      </c>
      <c r="E114" s="2">
        <f>VLOOKUP(B114,karyawan!B:D,3,FALSE)</f>
        <v>34000</v>
      </c>
      <c r="F114" s="2" t="str">
        <f>VLOOKUP(B114,karyawan!B:E,4,FALSE)</f>
        <v>Florida</v>
      </c>
      <c r="G114" s="3">
        <v>5</v>
      </c>
      <c r="H114" s="3"/>
      <c r="I114" s="4">
        <v>4</v>
      </c>
      <c r="J114" s="5">
        <f t="shared" si="3"/>
        <v>1</v>
      </c>
      <c r="K114" s="4">
        <v>0</v>
      </c>
      <c r="L114" s="4">
        <v>5</v>
      </c>
      <c r="M114" s="3">
        <v>4</v>
      </c>
      <c r="N114" s="4">
        <f t="shared" si="4"/>
        <v>0</v>
      </c>
      <c r="O114" s="65">
        <f t="shared" si="5"/>
        <v>0</v>
      </c>
    </row>
    <row r="115" spans="1:15" ht="14.4" x14ac:dyDescent="0.3">
      <c r="A115" s="6">
        <v>46147</v>
      </c>
      <c r="B115" s="49" t="s">
        <v>13</v>
      </c>
      <c r="C115" s="4">
        <v>8</v>
      </c>
      <c r="D115" s="2">
        <f>VLOOKUP(B115,[1]lantai9!$B:$G,6,FALSE)</f>
        <v>23000</v>
      </c>
      <c r="E115" s="2">
        <f>VLOOKUP(B115,karyawan!B:D,3,FALSE)</f>
        <v>22000</v>
      </c>
      <c r="F115" s="2" t="str">
        <f>VLOOKUP(B115,karyawan!B:E,4,FALSE)</f>
        <v>Yohannes</v>
      </c>
      <c r="G115" s="3">
        <v>6</v>
      </c>
      <c r="H115" s="3"/>
      <c r="I115" s="4">
        <v>6</v>
      </c>
      <c r="J115" s="5">
        <f t="shared" si="3"/>
        <v>1</v>
      </c>
      <c r="K115" s="4">
        <v>0</v>
      </c>
      <c r="L115" s="4">
        <v>9</v>
      </c>
      <c r="M115" s="4">
        <v>5</v>
      </c>
      <c r="N115" s="4">
        <f t="shared" si="4"/>
        <v>1</v>
      </c>
      <c r="O115" s="65">
        <f t="shared" si="5"/>
        <v>23000</v>
      </c>
    </row>
    <row r="116" spans="1:15" ht="14.4" x14ac:dyDescent="0.3">
      <c r="A116" s="6">
        <v>46147</v>
      </c>
      <c r="B116" s="49" t="s">
        <v>12</v>
      </c>
      <c r="C116" s="4">
        <v>8</v>
      </c>
      <c r="D116" s="2">
        <f>VLOOKUP(B116,[1]lantai9!$B:$G,6,FALSE)</f>
        <v>21000</v>
      </c>
      <c r="E116" s="2">
        <f>VLOOKUP(B116,karyawan!B:D,3,FALSE)</f>
        <v>20000</v>
      </c>
      <c r="F116" s="2" t="str">
        <f>VLOOKUP(B116,karyawan!B:E,4,FALSE)</f>
        <v>Damaz</v>
      </c>
      <c r="G116" s="3">
        <v>2</v>
      </c>
      <c r="H116" s="3"/>
      <c r="I116" s="4">
        <v>1</v>
      </c>
      <c r="J116" s="5">
        <f t="shared" si="3"/>
        <v>1</v>
      </c>
      <c r="K116" s="4">
        <v>0</v>
      </c>
      <c r="L116" s="4">
        <v>1</v>
      </c>
      <c r="M116" s="4">
        <v>1</v>
      </c>
      <c r="N116" s="4">
        <f t="shared" si="4"/>
        <v>0</v>
      </c>
      <c r="O116" s="65">
        <f t="shared" si="5"/>
        <v>0</v>
      </c>
    </row>
    <row r="117" spans="1:15" ht="14.4" x14ac:dyDescent="0.3">
      <c r="A117" s="6">
        <v>46147</v>
      </c>
      <c r="B117" s="49" t="s">
        <v>11</v>
      </c>
      <c r="C117" s="4">
        <v>8</v>
      </c>
      <c r="D117" s="2">
        <f>VLOOKUP(B117,[1]lantai9!$B:$G,6,FALSE)</f>
        <v>36000</v>
      </c>
      <c r="E117" s="2">
        <f>VLOOKUP(B117,karyawan!B:D,3,FALSE)</f>
        <v>35000</v>
      </c>
      <c r="F117" s="2" t="str">
        <f>VLOOKUP(B117,karyawan!B:E,4,FALSE)</f>
        <v>Damaz</v>
      </c>
      <c r="G117" s="3">
        <v>3</v>
      </c>
      <c r="H117" s="3"/>
      <c r="I117" s="4">
        <v>2</v>
      </c>
      <c r="J117" s="5">
        <f t="shared" si="3"/>
        <v>1</v>
      </c>
      <c r="K117" s="4">
        <v>0</v>
      </c>
      <c r="L117" s="4">
        <v>3</v>
      </c>
      <c r="M117" s="4">
        <v>2</v>
      </c>
      <c r="N117" s="4">
        <f t="shared" si="4"/>
        <v>0</v>
      </c>
      <c r="O117" s="65">
        <f t="shared" si="5"/>
        <v>0</v>
      </c>
    </row>
    <row r="118" spans="1:15" ht="14.4" x14ac:dyDescent="0.3">
      <c r="A118" s="6">
        <v>46147</v>
      </c>
      <c r="B118" s="49" t="s">
        <v>14</v>
      </c>
      <c r="C118" s="4">
        <v>8</v>
      </c>
      <c r="D118" s="2">
        <f>VLOOKUP(B118,[1]lantai9!$B:$G,6,FALSE)</f>
        <v>23000</v>
      </c>
      <c r="E118" s="2">
        <f>VLOOKUP(B118,karyawan!B:D,3,FALSE)</f>
        <v>22000</v>
      </c>
      <c r="F118" s="2" t="str">
        <f>VLOOKUP(B118,karyawan!B:E,4,FALSE)</f>
        <v>Vale</v>
      </c>
      <c r="G118" s="3">
        <v>5</v>
      </c>
      <c r="H118" s="3"/>
      <c r="I118" s="4">
        <v>0</v>
      </c>
      <c r="J118" s="5">
        <f t="shared" si="3"/>
        <v>5</v>
      </c>
      <c r="K118" s="4">
        <v>0</v>
      </c>
      <c r="L118" s="4">
        <v>1</v>
      </c>
      <c r="M118" s="4">
        <v>0</v>
      </c>
      <c r="N118" s="4">
        <f t="shared" si="4"/>
        <v>0</v>
      </c>
      <c r="O118" s="65">
        <f t="shared" si="5"/>
        <v>0</v>
      </c>
    </row>
    <row r="119" spans="1:15" ht="14.4" x14ac:dyDescent="0.3">
      <c r="A119" s="6">
        <v>46147</v>
      </c>
      <c r="B119" s="49" t="s">
        <v>7</v>
      </c>
      <c r="C119" s="4">
        <v>8</v>
      </c>
      <c r="D119" s="2">
        <f>VLOOKUP(B119,[1]lantai9!$B:$G,6,FALSE)</f>
        <v>15000</v>
      </c>
      <c r="E119" s="2">
        <f>VLOOKUP(B119,karyawan!B:D,3,FALSE)</f>
        <v>14000</v>
      </c>
      <c r="F119" s="2" t="str">
        <f>VLOOKUP(B119,karyawan!B:E,4,FALSE)</f>
        <v>Desy</v>
      </c>
      <c r="G119" s="3">
        <v>6</v>
      </c>
      <c r="H119" s="3"/>
      <c r="I119" s="4">
        <v>3</v>
      </c>
      <c r="J119" s="5">
        <f t="shared" si="3"/>
        <v>0</v>
      </c>
      <c r="K119" s="4">
        <v>0</v>
      </c>
      <c r="L119" s="4">
        <v>6</v>
      </c>
      <c r="M119" s="4">
        <v>6</v>
      </c>
      <c r="N119" s="4">
        <f t="shared" si="4"/>
        <v>0</v>
      </c>
      <c r="O119" s="65">
        <f t="shared" si="5"/>
        <v>0</v>
      </c>
    </row>
    <row r="120" spans="1:15" ht="14.4" x14ac:dyDescent="0.3">
      <c r="A120" s="6">
        <v>46147</v>
      </c>
      <c r="B120" s="49" t="s">
        <v>16</v>
      </c>
      <c r="C120" s="4">
        <v>8</v>
      </c>
      <c r="D120" s="2">
        <f>VLOOKUP(B120,[1]lantai9!$B:$G,6,FALSE)</f>
        <v>18000</v>
      </c>
      <c r="E120" s="2">
        <f>VLOOKUP(B120,karyawan!B:D,3,FALSE)</f>
        <v>17000</v>
      </c>
      <c r="F120" s="2" t="str">
        <f>VLOOKUP(B120,karyawan!B:E,4,FALSE)</f>
        <v>Geby</v>
      </c>
      <c r="G120" s="3">
        <v>6</v>
      </c>
      <c r="H120" s="3"/>
      <c r="I120" s="4">
        <v>2</v>
      </c>
      <c r="J120" s="5">
        <f t="shared" si="3"/>
        <v>5</v>
      </c>
      <c r="K120" s="4">
        <v>0</v>
      </c>
      <c r="L120" s="4">
        <v>3</v>
      </c>
      <c r="M120" s="4">
        <v>1</v>
      </c>
      <c r="N120" s="4">
        <f t="shared" si="4"/>
        <v>1</v>
      </c>
      <c r="O120" s="65">
        <f t="shared" si="5"/>
        <v>18000</v>
      </c>
    </row>
    <row r="121" spans="1:15" ht="14.4" x14ac:dyDescent="0.3">
      <c r="A121" s="6">
        <v>46147</v>
      </c>
      <c r="B121" s="49" t="s">
        <v>6</v>
      </c>
      <c r="C121" s="4">
        <v>8</v>
      </c>
      <c r="D121" s="2">
        <f>VLOOKUP(B121,[1]lantai9!$B:$G,6,FALSE)</f>
        <v>21000</v>
      </c>
      <c r="E121" s="2">
        <f>VLOOKUP(B121,karyawan!B:D,3,FALSE)</f>
        <v>20000</v>
      </c>
      <c r="F121" s="2" t="str">
        <f>VLOOKUP(B121,karyawan!B:E,4,FALSE)</f>
        <v>Geby</v>
      </c>
      <c r="G121" s="3">
        <v>2</v>
      </c>
      <c r="H121" s="3"/>
      <c r="I121" s="4">
        <v>2</v>
      </c>
      <c r="J121" s="5">
        <f t="shared" si="3"/>
        <v>1</v>
      </c>
      <c r="K121" s="4">
        <v>0</v>
      </c>
      <c r="L121" s="4">
        <v>1</v>
      </c>
      <c r="M121" s="4">
        <v>1</v>
      </c>
      <c r="N121" s="4">
        <f t="shared" si="4"/>
        <v>1</v>
      </c>
      <c r="O121" s="65">
        <f t="shared" si="5"/>
        <v>21000</v>
      </c>
    </row>
    <row r="122" spans="1:15" ht="14.4" x14ac:dyDescent="0.3">
      <c r="A122" s="6">
        <v>46147</v>
      </c>
      <c r="B122" s="49" t="s">
        <v>20</v>
      </c>
      <c r="C122" s="4">
        <v>8</v>
      </c>
      <c r="D122" s="2">
        <f>VLOOKUP(B122,[1]lantai9!$B:$G,6,FALSE)</f>
        <v>35000</v>
      </c>
      <c r="E122" s="2">
        <f>VLOOKUP(B122,karyawan!B:D,3,FALSE)</f>
        <v>34000</v>
      </c>
      <c r="F122" s="2" t="str">
        <f>VLOOKUP(B122,karyawan!B:E,4,FALSE)</f>
        <v>Sherly</v>
      </c>
      <c r="G122" s="3">
        <v>2</v>
      </c>
      <c r="H122" s="3"/>
      <c r="I122" s="4">
        <v>1</v>
      </c>
      <c r="J122" s="5">
        <f t="shared" si="3"/>
        <v>1</v>
      </c>
      <c r="K122" s="4">
        <v>0</v>
      </c>
      <c r="L122" s="4">
        <v>1</v>
      </c>
      <c r="M122" s="4">
        <v>1</v>
      </c>
      <c r="N122" s="4">
        <f t="shared" si="4"/>
        <v>0</v>
      </c>
      <c r="O122" s="65">
        <f t="shared" si="5"/>
        <v>0</v>
      </c>
    </row>
    <row r="123" spans="1:15" ht="14.4" x14ac:dyDescent="0.3">
      <c r="A123" s="6">
        <v>46147</v>
      </c>
      <c r="B123" s="49" t="s">
        <v>21</v>
      </c>
      <c r="C123" s="4">
        <v>8</v>
      </c>
      <c r="D123" s="2">
        <f>VLOOKUP(B123,[1]lantai9!$B:$G,6,FALSE)</f>
        <v>40000</v>
      </c>
      <c r="E123" s="2">
        <f>VLOOKUP(B123,karyawan!B:D,3,FALSE)</f>
        <v>39000</v>
      </c>
      <c r="F123" s="2" t="str">
        <f>VLOOKUP(B123,karyawan!B:E,4,FALSE)</f>
        <v>Sherly</v>
      </c>
      <c r="G123" s="3">
        <v>4</v>
      </c>
      <c r="H123" s="3"/>
      <c r="I123" s="4">
        <v>3</v>
      </c>
      <c r="J123" s="5">
        <f t="shared" si="3"/>
        <v>1</v>
      </c>
      <c r="K123" s="4">
        <v>0</v>
      </c>
      <c r="L123" s="4">
        <v>4</v>
      </c>
      <c r="M123" s="4">
        <v>3</v>
      </c>
      <c r="N123" s="4">
        <f t="shared" si="4"/>
        <v>0</v>
      </c>
      <c r="O123" s="65">
        <f t="shared" si="5"/>
        <v>0</v>
      </c>
    </row>
    <row r="124" spans="1:15" ht="14.4" x14ac:dyDescent="0.3">
      <c r="A124" s="6">
        <v>46147</v>
      </c>
      <c r="B124" s="49" t="s">
        <v>19</v>
      </c>
      <c r="C124" s="4">
        <v>8</v>
      </c>
      <c r="D124" s="2">
        <f>VLOOKUP(B124,[1]lantai9!$B:$G,6,FALSE)</f>
        <v>2500</v>
      </c>
      <c r="E124" s="2">
        <f>VLOOKUP(B124,karyawan!B:D,3,FALSE)</f>
        <v>1480</v>
      </c>
      <c r="F124" s="2" t="str">
        <f>VLOOKUP(B124,karyawan!B:E,4,FALSE)</f>
        <v>Compliance</v>
      </c>
      <c r="G124" s="3">
        <v>12</v>
      </c>
      <c r="H124" s="3"/>
      <c r="I124" s="4">
        <v>6</v>
      </c>
      <c r="J124" s="5">
        <f t="shared" si="3"/>
        <v>6</v>
      </c>
      <c r="K124" s="4">
        <v>0</v>
      </c>
      <c r="L124" s="4">
        <v>7</v>
      </c>
      <c r="M124" s="4">
        <v>6</v>
      </c>
      <c r="N124" s="4">
        <f t="shared" si="4"/>
        <v>0</v>
      </c>
      <c r="O124" s="65">
        <f t="shared" si="5"/>
        <v>0</v>
      </c>
    </row>
    <row r="125" spans="1:15" ht="14.4" x14ac:dyDescent="0.3">
      <c r="A125" s="6">
        <v>46147</v>
      </c>
      <c r="B125" s="49" t="s">
        <v>17</v>
      </c>
      <c r="C125" s="4">
        <v>8</v>
      </c>
      <c r="D125" s="2">
        <f>VLOOKUP(B125,[1]lantai9!$B:$G,6,FALSE)</f>
        <v>2000</v>
      </c>
      <c r="E125" s="2">
        <f>VLOOKUP(B125,karyawan!B:D,3,FALSE)</f>
        <v>1074</v>
      </c>
      <c r="F125" s="2" t="str">
        <f>VLOOKUP(B125,karyawan!B:E,4,FALSE)</f>
        <v>Compliance</v>
      </c>
      <c r="G125" s="3">
        <v>10</v>
      </c>
      <c r="H125" s="3"/>
      <c r="I125" s="4">
        <v>10</v>
      </c>
      <c r="J125" s="5">
        <f t="shared" si="3"/>
        <v>2</v>
      </c>
      <c r="K125" s="4">
        <v>0</v>
      </c>
      <c r="L125" s="4">
        <v>2</v>
      </c>
      <c r="M125" s="4">
        <v>8</v>
      </c>
      <c r="N125" s="4">
        <f t="shared" si="4"/>
        <v>2</v>
      </c>
      <c r="O125" s="65">
        <f t="shared" si="5"/>
        <v>4000</v>
      </c>
    </row>
    <row r="126" spans="1:15" ht="14.4" x14ac:dyDescent="0.3">
      <c r="A126" s="6">
        <v>46147</v>
      </c>
      <c r="B126" s="49" t="s">
        <v>5</v>
      </c>
      <c r="C126" s="4">
        <v>8</v>
      </c>
      <c r="D126" s="2">
        <f>VLOOKUP(B126,[1]lantai9!$B:$G,6,FALSE)</f>
        <v>2500</v>
      </c>
      <c r="E126" s="2">
        <f>VLOOKUP(B126,karyawan!B:D,3,FALSE)</f>
        <v>1465</v>
      </c>
      <c r="F126" s="2" t="str">
        <f>VLOOKUP(B126,karyawan!B:E,4,FALSE)</f>
        <v>Compliance</v>
      </c>
      <c r="G126" s="3">
        <v>10</v>
      </c>
      <c r="H126" s="3"/>
      <c r="I126" s="4">
        <v>6</v>
      </c>
      <c r="J126" s="5">
        <f t="shared" si="3"/>
        <v>8</v>
      </c>
      <c r="K126" s="4">
        <v>0</v>
      </c>
      <c r="L126" s="4">
        <v>-2</v>
      </c>
      <c r="M126" s="4">
        <v>2</v>
      </c>
      <c r="N126" s="4">
        <f t="shared" si="4"/>
        <v>4</v>
      </c>
      <c r="O126" s="65">
        <f t="shared" si="5"/>
        <v>10000</v>
      </c>
    </row>
    <row r="127" spans="1:15" ht="14.4" x14ac:dyDescent="0.3">
      <c r="A127" s="6">
        <v>46147</v>
      </c>
      <c r="B127" s="49" t="s">
        <v>3</v>
      </c>
      <c r="C127" s="4">
        <v>8</v>
      </c>
      <c r="D127" s="2">
        <f>VLOOKUP(B127,[1]lantai9!$B:$G,6,FALSE)</f>
        <v>10000</v>
      </c>
      <c r="E127" s="2">
        <f>VLOOKUP(B127,karyawan!B:D,3,FALSE)</f>
        <v>9200</v>
      </c>
      <c r="F127" s="2" t="str">
        <f>VLOOKUP(B127,karyawan!B:E,4,FALSE)</f>
        <v>Compliance</v>
      </c>
      <c r="G127" s="3">
        <v>15</v>
      </c>
      <c r="H127" s="3"/>
      <c r="I127" s="4">
        <v>15</v>
      </c>
      <c r="J127" s="5">
        <f t="shared" si="3"/>
        <v>0</v>
      </c>
      <c r="K127" s="4">
        <v>0</v>
      </c>
      <c r="L127" s="4">
        <v>15</v>
      </c>
      <c r="M127" s="4">
        <v>15</v>
      </c>
      <c r="N127" s="4">
        <f t="shared" si="4"/>
        <v>0</v>
      </c>
      <c r="O127" s="65">
        <f t="shared" si="5"/>
        <v>0</v>
      </c>
    </row>
    <row r="128" spans="1:15" ht="14.4" x14ac:dyDescent="0.3">
      <c r="A128" s="6">
        <v>46147</v>
      </c>
      <c r="B128" s="49" t="s">
        <v>18</v>
      </c>
      <c r="C128" s="4">
        <v>8</v>
      </c>
      <c r="D128" s="2">
        <f>VLOOKUP(B128,[1]lantai9!$B:$G,6,FALSE)</f>
        <v>15000</v>
      </c>
      <c r="E128" s="2">
        <f>VLOOKUP(B128,karyawan!B:D,3,FALSE)</f>
        <v>13807</v>
      </c>
      <c r="F128" s="2" t="str">
        <f>VLOOKUP(B128,karyawan!B:E,4,FALSE)</f>
        <v>Compliance</v>
      </c>
      <c r="G128" s="3">
        <v>10</v>
      </c>
      <c r="H128" s="3"/>
      <c r="I128" s="4">
        <v>0</v>
      </c>
      <c r="J128" s="5">
        <f t="shared" si="3"/>
        <v>10</v>
      </c>
      <c r="K128" s="4">
        <v>0</v>
      </c>
      <c r="L128" s="4">
        <v>1</v>
      </c>
      <c r="M128" s="4">
        <v>0</v>
      </c>
      <c r="N128" s="4">
        <f t="shared" si="4"/>
        <v>0</v>
      </c>
      <c r="O128" s="65">
        <f t="shared" si="5"/>
        <v>0</v>
      </c>
    </row>
    <row r="129" spans="1:15" ht="14.4" x14ac:dyDescent="0.3">
      <c r="A129" s="6">
        <v>46147</v>
      </c>
      <c r="B129" s="49" t="s">
        <v>10</v>
      </c>
      <c r="C129" s="4">
        <v>8</v>
      </c>
      <c r="D129" s="2">
        <f>VLOOKUP(B129,[1]lantai9!$B:$G,6,FALSE)</f>
        <v>23000</v>
      </c>
      <c r="E129" s="2">
        <f>VLOOKUP(B129,karyawan!B:D,3,FALSE)</f>
        <v>21760</v>
      </c>
      <c r="F129" s="2" t="str">
        <f>VLOOKUP(B129,karyawan!B:E,4,FALSE)</f>
        <v>Compliance</v>
      </c>
      <c r="G129" s="3">
        <v>7</v>
      </c>
      <c r="H129" s="3"/>
      <c r="I129" s="4">
        <v>5</v>
      </c>
      <c r="J129" s="5">
        <f t="shared" si="3"/>
        <v>2</v>
      </c>
      <c r="K129" s="4">
        <v>0</v>
      </c>
      <c r="L129" s="4">
        <v>6</v>
      </c>
      <c r="M129" s="4">
        <v>5</v>
      </c>
      <c r="N129" s="4">
        <f t="shared" si="4"/>
        <v>0</v>
      </c>
      <c r="O129" s="65">
        <f t="shared" si="5"/>
        <v>0</v>
      </c>
    </row>
    <row r="130" spans="1:15" ht="14.4" x14ac:dyDescent="0.3">
      <c r="A130" s="6">
        <v>46147</v>
      </c>
      <c r="B130" s="49" t="s">
        <v>4</v>
      </c>
      <c r="C130" s="4">
        <v>9</v>
      </c>
      <c r="D130" s="2">
        <f>VLOOKUP(B130,[1]lantai9!$B:$G,6,FALSE)</f>
        <v>35000</v>
      </c>
      <c r="E130" s="2">
        <f>VLOOKUP(B130,karyawan!B:D,3,FALSE)</f>
        <v>34000</v>
      </c>
      <c r="F130" s="2" t="str">
        <f>VLOOKUP(B130,karyawan!B:E,4,FALSE)</f>
        <v>Florida</v>
      </c>
      <c r="G130" s="3">
        <v>5</v>
      </c>
      <c r="H130" s="3"/>
      <c r="I130" s="4">
        <v>0</v>
      </c>
      <c r="J130" s="5">
        <f t="shared" ref="J130:J193" si="6">IF($G130-$M130&lt;0,0,$G130-$M130)</f>
        <v>5</v>
      </c>
      <c r="K130" s="4">
        <v>0</v>
      </c>
      <c r="L130" s="4">
        <v>0</v>
      </c>
      <c r="M130" s="4">
        <v>0</v>
      </c>
      <c r="N130" s="4">
        <f t="shared" ref="N130:N193" si="7">MAX($I130-$M130,0)</f>
        <v>0</v>
      </c>
      <c r="O130" s="65">
        <f t="shared" ref="O130:O193" si="8">N130*D130</f>
        <v>0</v>
      </c>
    </row>
    <row r="131" spans="1:15" ht="14.4" x14ac:dyDescent="0.3">
      <c r="A131" s="6">
        <v>46147</v>
      </c>
      <c r="B131" s="49" t="s">
        <v>13</v>
      </c>
      <c r="C131" s="4">
        <v>9</v>
      </c>
      <c r="D131" s="2">
        <f>VLOOKUP(B131,[1]lantai9!$B:$G,6,FALSE)</f>
        <v>23000</v>
      </c>
      <c r="E131" s="2">
        <f>VLOOKUP(B131,karyawan!B:D,3,FALSE)</f>
        <v>22000</v>
      </c>
      <c r="F131" s="2" t="str">
        <f>VLOOKUP(B131,karyawan!B:E,4,FALSE)</f>
        <v>Yohannes</v>
      </c>
      <c r="G131" s="3">
        <v>6</v>
      </c>
      <c r="H131" s="3"/>
      <c r="I131" s="4">
        <v>6</v>
      </c>
      <c r="J131" s="5">
        <f t="shared" si="6"/>
        <v>3</v>
      </c>
      <c r="K131" s="4">
        <v>0</v>
      </c>
      <c r="L131" s="4">
        <v>4</v>
      </c>
      <c r="M131" s="4">
        <v>3</v>
      </c>
      <c r="N131" s="4">
        <f t="shared" si="7"/>
        <v>3</v>
      </c>
      <c r="O131" s="65">
        <f t="shared" si="8"/>
        <v>69000</v>
      </c>
    </row>
    <row r="132" spans="1:15" ht="14.4" x14ac:dyDescent="0.3">
      <c r="A132" s="6">
        <v>46147</v>
      </c>
      <c r="B132" s="49" t="s">
        <v>12</v>
      </c>
      <c r="C132" s="4">
        <v>9</v>
      </c>
      <c r="D132" s="2">
        <f>VLOOKUP(B132,[1]lantai9!$B:$G,6,FALSE)</f>
        <v>21000</v>
      </c>
      <c r="E132" s="2">
        <f>VLOOKUP(B132,karyawan!B:D,3,FALSE)</f>
        <v>20000</v>
      </c>
      <c r="F132" s="2" t="str">
        <f>VLOOKUP(B132,karyawan!B:E,4,FALSE)</f>
        <v>Damaz</v>
      </c>
      <c r="G132" s="3">
        <v>2</v>
      </c>
      <c r="H132" s="3"/>
      <c r="I132" s="4">
        <v>2</v>
      </c>
      <c r="J132" s="5">
        <f t="shared" si="6"/>
        <v>0</v>
      </c>
      <c r="K132" s="4">
        <v>0</v>
      </c>
      <c r="L132" s="4">
        <v>2</v>
      </c>
      <c r="M132" s="4">
        <v>2</v>
      </c>
      <c r="N132" s="4">
        <f t="shared" si="7"/>
        <v>0</v>
      </c>
      <c r="O132" s="65">
        <f t="shared" si="8"/>
        <v>0</v>
      </c>
    </row>
    <row r="133" spans="1:15" ht="14.4" x14ac:dyDescent="0.3">
      <c r="A133" s="6">
        <v>46147</v>
      </c>
      <c r="B133" s="49" t="s">
        <v>11</v>
      </c>
      <c r="C133" s="4">
        <v>9</v>
      </c>
      <c r="D133" s="2">
        <f>VLOOKUP(B133,[1]lantai9!$B:$G,6,FALSE)</f>
        <v>36000</v>
      </c>
      <c r="E133" s="2">
        <f>VLOOKUP(B133,karyawan!B:D,3,FALSE)</f>
        <v>35000</v>
      </c>
      <c r="F133" s="2" t="str">
        <f>VLOOKUP(B133,karyawan!B:E,4,FALSE)</f>
        <v>Damaz</v>
      </c>
      <c r="G133" s="3">
        <v>3</v>
      </c>
      <c r="H133" s="3"/>
      <c r="I133" s="4">
        <v>1</v>
      </c>
      <c r="J133" s="5">
        <f t="shared" si="6"/>
        <v>3</v>
      </c>
      <c r="K133" s="4">
        <v>0</v>
      </c>
      <c r="L133" s="4">
        <v>0</v>
      </c>
      <c r="M133" s="4">
        <v>0</v>
      </c>
      <c r="N133" s="4">
        <f t="shared" si="7"/>
        <v>1</v>
      </c>
      <c r="O133" s="65">
        <f t="shared" si="8"/>
        <v>36000</v>
      </c>
    </row>
    <row r="134" spans="1:15" ht="14.4" x14ac:dyDescent="0.3">
      <c r="A134" s="6">
        <v>46147</v>
      </c>
      <c r="B134" s="49" t="s">
        <v>14</v>
      </c>
      <c r="C134" s="4">
        <v>9</v>
      </c>
      <c r="D134" s="2">
        <f>VLOOKUP(B134,[1]lantai9!$B:$G,6,FALSE)</f>
        <v>23000</v>
      </c>
      <c r="E134" s="2">
        <f>VLOOKUP(B134,karyawan!B:D,3,FALSE)</f>
        <v>22000</v>
      </c>
      <c r="F134" s="2" t="str">
        <f>VLOOKUP(B134,karyawan!B:E,4,FALSE)</f>
        <v>Vale</v>
      </c>
      <c r="G134" s="3">
        <v>5</v>
      </c>
      <c r="H134" s="3"/>
      <c r="I134" s="4">
        <v>0</v>
      </c>
      <c r="J134" s="5">
        <f t="shared" si="6"/>
        <v>5</v>
      </c>
      <c r="K134" s="4">
        <v>0</v>
      </c>
      <c r="L134" s="4">
        <v>0</v>
      </c>
      <c r="M134" s="4">
        <v>0</v>
      </c>
      <c r="N134" s="4">
        <f t="shared" si="7"/>
        <v>0</v>
      </c>
      <c r="O134" s="65">
        <f t="shared" si="8"/>
        <v>0</v>
      </c>
    </row>
    <row r="135" spans="1:15" ht="14.4" x14ac:dyDescent="0.3">
      <c r="A135" s="6">
        <v>46147</v>
      </c>
      <c r="B135" s="49" t="s">
        <v>7</v>
      </c>
      <c r="C135" s="4">
        <v>9</v>
      </c>
      <c r="D135" s="2">
        <f>VLOOKUP(B135,[1]lantai9!$B:$G,6,FALSE)</f>
        <v>15000</v>
      </c>
      <c r="E135" s="2">
        <f>VLOOKUP(B135,karyawan!B:D,3,FALSE)</f>
        <v>14000</v>
      </c>
      <c r="F135" s="2" t="str">
        <f>VLOOKUP(B135,karyawan!B:E,4,FALSE)</f>
        <v>Desy</v>
      </c>
      <c r="G135" s="3">
        <v>6</v>
      </c>
      <c r="H135" s="3"/>
      <c r="I135" s="4">
        <v>6</v>
      </c>
      <c r="J135" s="5">
        <f t="shared" si="6"/>
        <v>2</v>
      </c>
      <c r="K135" s="4">
        <v>0</v>
      </c>
      <c r="L135" s="3">
        <v>4</v>
      </c>
      <c r="M135" s="3">
        <v>4</v>
      </c>
      <c r="N135" s="4">
        <f t="shared" si="7"/>
        <v>2</v>
      </c>
      <c r="O135" s="65">
        <f t="shared" si="8"/>
        <v>30000</v>
      </c>
    </row>
    <row r="136" spans="1:15" ht="14.4" x14ac:dyDescent="0.3">
      <c r="A136" s="6">
        <v>46147</v>
      </c>
      <c r="B136" s="49" t="s">
        <v>16</v>
      </c>
      <c r="C136" s="4">
        <v>9</v>
      </c>
      <c r="D136" s="2">
        <f>VLOOKUP(B136,[1]lantai9!$B:$G,6,FALSE)</f>
        <v>18000</v>
      </c>
      <c r="E136" s="2">
        <f>VLOOKUP(B136,karyawan!B:D,3,FALSE)</f>
        <v>17000</v>
      </c>
      <c r="F136" s="2" t="str">
        <f>VLOOKUP(B136,karyawan!B:E,4,FALSE)</f>
        <v>Geby</v>
      </c>
      <c r="G136" s="3">
        <v>6</v>
      </c>
      <c r="H136" s="3"/>
      <c r="I136" s="4">
        <v>1</v>
      </c>
      <c r="J136" s="5">
        <f t="shared" si="6"/>
        <v>5</v>
      </c>
      <c r="K136" s="4">
        <v>0</v>
      </c>
      <c r="L136" s="4">
        <v>1</v>
      </c>
      <c r="M136" s="4">
        <v>1</v>
      </c>
      <c r="N136" s="4">
        <f t="shared" si="7"/>
        <v>0</v>
      </c>
      <c r="O136" s="65">
        <f t="shared" si="8"/>
        <v>0</v>
      </c>
    </row>
    <row r="137" spans="1:15" ht="14.4" x14ac:dyDescent="0.3">
      <c r="A137" s="6">
        <v>46147</v>
      </c>
      <c r="B137" s="49" t="s">
        <v>6</v>
      </c>
      <c r="C137" s="4">
        <v>9</v>
      </c>
      <c r="D137" s="2">
        <f>VLOOKUP(B137,[1]lantai9!$B:$G,6,FALSE)</f>
        <v>21000</v>
      </c>
      <c r="E137" s="2">
        <f>VLOOKUP(B137,karyawan!B:D,3,FALSE)</f>
        <v>20000</v>
      </c>
      <c r="F137" s="2" t="str">
        <f>VLOOKUP(B137,karyawan!B:E,4,FALSE)</f>
        <v>Geby</v>
      </c>
      <c r="G137" s="3">
        <v>2</v>
      </c>
      <c r="H137" s="3"/>
      <c r="I137" s="4">
        <v>0</v>
      </c>
      <c r="J137" s="5">
        <f t="shared" si="6"/>
        <v>2</v>
      </c>
      <c r="K137" s="4">
        <v>0</v>
      </c>
      <c r="L137" s="4">
        <v>0</v>
      </c>
      <c r="M137" s="4">
        <v>0</v>
      </c>
      <c r="N137" s="4">
        <f t="shared" si="7"/>
        <v>0</v>
      </c>
      <c r="O137" s="65">
        <f t="shared" si="8"/>
        <v>0</v>
      </c>
    </row>
    <row r="138" spans="1:15" ht="14.4" x14ac:dyDescent="0.3">
      <c r="A138" s="6">
        <v>46147</v>
      </c>
      <c r="B138" s="49" t="s">
        <v>20</v>
      </c>
      <c r="C138" s="4">
        <v>9</v>
      </c>
      <c r="D138" s="2">
        <f>VLOOKUP(B138,[1]lantai9!$B:$G,6,FALSE)</f>
        <v>35000</v>
      </c>
      <c r="E138" s="2">
        <f>VLOOKUP(B138,karyawan!B:D,3,FALSE)</f>
        <v>34000</v>
      </c>
      <c r="F138" s="2" t="str">
        <f>VLOOKUP(B138,karyawan!B:E,4,FALSE)</f>
        <v>Sherly</v>
      </c>
      <c r="G138" s="3">
        <v>2</v>
      </c>
      <c r="H138" s="3"/>
      <c r="I138" s="4">
        <v>2</v>
      </c>
      <c r="J138" s="5">
        <f t="shared" si="6"/>
        <v>0</v>
      </c>
      <c r="K138" s="4">
        <v>0</v>
      </c>
      <c r="L138" s="4">
        <v>2</v>
      </c>
      <c r="M138" s="4">
        <v>2</v>
      </c>
      <c r="N138" s="4">
        <f t="shared" si="7"/>
        <v>0</v>
      </c>
      <c r="O138" s="65">
        <f t="shared" si="8"/>
        <v>0</v>
      </c>
    </row>
    <row r="139" spans="1:15" ht="14.4" x14ac:dyDescent="0.3">
      <c r="A139" s="6">
        <v>46147</v>
      </c>
      <c r="B139" s="49" t="s">
        <v>21</v>
      </c>
      <c r="C139" s="4">
        <v>9</v>
      </c>
      <c r="D139" s="2">
        <f>VLOOKUP(B139,[1]lantai9!$B:$G,6,FALSE)</f>
        <v>40000</v>
      </c>
      <c r="E139" s="2">
        <f>VLOOKUP(B139,karyawan!B:D,3,FALSE)</f>
        <v>39000</v>
      </c>
      <c r="F139" s="2" t="str">
        <f>VLOOKUP(B139,karyawan!B:E,4,FALSE)</f>
        <v>Sherly</v>
      </c>
      <c r="G139" s="3">
        <v>4</v>
      </c>
      <c r="H139" s="3"/>
      <c r="I139" s="4">
        <v>4</v>
      </c>
      <c r="J139" s="5">
        <f t="shared" si="6"/>
        <v>3</v>
      </c>
      <c r="K139" s="4">
        <v>0</v>
      </c>
      <c r="L139" s="4">
        <v>1</v>
      </c>
      <c r="M139" s="4">
        <v>1</v>
      </c>
      <c r="N139" s="4">
        <f t="shared" si="7"/>
        <v>3</v>
      </c>
      <c r="O139" s="65">
        <f t="shared" si="8"/>
        <v>120000</v>
      </c>
    </row>
    <row r="140" spans="1:15" ht="14.4" x14ac:dyDescent="0.3">
      <c r="A140" s="6">
        <v>46147</v>
      </c>
      <c r="B140" s="49" t="s">
        <v>19</v>
      </c>
      <c r="C140" s="4">
        <v>9</v>
      </c>
      <c r="D140" s="2">
        <f>VLOOKUP(B140,[1]lantai9!$B:$G,6,FALSE)</f>
        <v>2500</v>
      </c>
      <c r="E140" s="2">
        <f>VLOOKUP(B140,karyawan!B:D,3,FALSE)</f>
        <v>1480</v>
      </c>
      <c r="F140" s="2" t="str">
        <f>VLOOKUP(B140,karyawan!B:E,4,FALSE)</f>
        <v>Compliance</v>
      </c>
      <c r="G140" s="3">
        <v>12</v>
      </c>
      <c r="H140" s="3"/>
      <c r="I140" s="4">
        <v>8</v>
      </c>
      <c r="J140" s="5">
        <f t="shared" si="6"/>
        <v>4</v>
      </c>
      <c r="K140" s="4">
        <v>0</v>
      </c>
      <c r="L140" s="4">
        <v>8</v>
      </c>
      <c r="M140" s="4">
        <v>8</v>
      </c>
      <c r="N140" s="4">
        <f t="shared" si="7"/>
        <v>0</v>
      </c>
      <c r="O140" s="65">
        <f t="shared" si="8"/>
        <v>0</v>
      </c>
    </row>
    <row r="141" spans="1:15" ht="14.4" x14ac:dyDescent="0.3">
      <c r="A141" s="6">
        <v>46147</v>
      </c>
      <c r="B141" s="49" t="s">
        <v>17</v>
      </c>
      <c r="C141" s="4">
        <v>9</v>
      </c>
      <c r="D141" s="2">
        <f>VLOOKUP(B141,[1]lantai9!$B:$G,6,FALSE)</f>
        <v>2000</v>
      </c>
      <c r="E141" s="2">
        <f>VLOOKUP(B141,karyawan!B:D,3,FALSE)</f>
        <v>1074</v>
      </c>
      <c r="F141" s="2" t="str">
        <f>VLOOKUP(B141,karyawan!B:E,4,FALSE)</f>
        <v>Compliance</v>
      </c>
      <c r="G141" s="3">
        <v>10</v>
      </c>
      <c r="H141" s="3"/>
      <c r="I141" s="4">
        <v>10</v>
      </c>
      <c r="J141" s="5">
        <f t="shared" si="6"/>
        <v>10</v>
      </c>
      <c r="K141" s="4">
        <v>0</v>
      </c>
      <c r="L141" s="4">
        <v>0</v>
      </c>
      <c r="M141" s="4">
        <v>0</v>
      </c>
      <c r="N141" s="4">
        <f t="shared" si="7"/>
        <v>10</v>
      </c>
      <c r="O141" s="65">
        <f t="shared" si="8"/>
        <v>20000</v>
      </c>
    </row>
    <row r="142" spans="1:15" ht="14.4" x14ac:dyDescent="0.3">
      <c r="A142" s="6">
        <v>46147</v>
      </c>
      <c r="B142" s="49" t="s">
        <v>5</v>
      </c>
      <c r="C142" s="4">
        <v>9</v>
      </c>
      <c r="D142" s="2">
        <f>VLOOKUP(B142,[1]lantai9!$B:$G,6,FALSE)</f>
        <v>2500</v>
      </c>
      <c r="E142" s="2">
        <f>VLOOKUP(B142,karyawan!B:D,3,FALSE)</f>
        <v>1465</v>
      </c>
      <c r="F142" s="2" t="str">
        <f>VLOOKUP(B142,karyawan!B:E,4,FALSE)</f>
        <v>Compliance</v>
      </c>
      <c r="G142" s="3">
        <v>10</v>
      </c>
      <c r="H142" s="3"/>
      <c r="I142" s="4">
        <v>9</v>
      </c>
      <c r="J142" s="5">
        <f t="shared" si="6"/>
        <v>4</v>
      </c>
      <c r="K142" s="4">
        <v>0</v>
      </c>
      <c r="L142" s="3">
        <v>5</v>
      </c>
      <c r="M142" s="3">
        <v>6</v>
      </c>
      <c r="N142" s="4">
        <f t="shared" si="7"/>
        <v>3</v>
      </c>
      <c r="O142" s="65">
        <f t="shared" si="8"/>
        <v>7500</v>
      </c>
    </row>
    <row r="143" spans="1:15" ht="14.4" x14ac:dyDescent="0.3">
      <c r="A143" s="6">
        <v>46147</v>
      </c>
      <c r="B143" s="49" t="s">
        <v>3</v>
      </c>
      <c r="C143" s="4">
        <v>9</v>
      </c>
      <c r="D143" s="2">
        <f>VLOOKUP(B143,[1]lantai9!$B:$G,6,FALSE)</f>
        <v>10000</v>
      </c>
      <c r="E143" s="2">
        <f>VLOOKUP(B143,karyawan!B:D,3,FALSE)</f>
        <v>9200</v>
      </c>
      <c r="F143" s="2" t="str">
        <f>VLOOKUP(B143,karyawan!B:E,4,FALSE)</f>
        <v>Compliance</v>
      </c>
      <c r="G143" s="3">
        <v>15</v>
      </c>
      <c r="H143" s="3"/>
      <c r="I143" s="4">
        <v>11</v>
      </c>
      <c r="J143" s="5">
        <f t="shared" si="6"/>
        <v>1</v>
      </c>
      <c r="K143" s="4">
        <v>0</v>
      </c>
      <c r="L143" s="4">
        <v>14</v>
      </c>
      <c r="M143" s="4">
        <v>14</v>
      </c>
      <c r="N143" s="4">
        <f t="shared" si="7"/>
        <v>0</v>
      </c>
      <c r="O143" s="65">
        <f t="shared" si="8"/>
        <v>0</v>
      </c>
    </row>
    <row r="144" spans="1:15" ht="14.4" x14ac:dyDescent="0.3">
      <c r="A144" s="6">
        <v>46147</v>
      </c>
      <c r="B144" s="49" t="s">
        <v>18</v>
      </c>
      <c r="C144" s="4">
        <v>9</v>
      </c>
      <c r="D144" s="2">
        <f>VLOOKUP(B144,[1]lantai9!$B:$G,6,FALSE)</f>
        <v>15000</v>
      </c>
      <c r="E144" s="2">
        <f>VLOOKUP(B144,karyawan!B:D,3,FALSE)</f>
        <v>13807</v>
      </c>
      <c r="F144" s="2" t="str">
        <f>VLOOKUP(B144,karyawan!B:E,4,FALSE)</f>
        <v>Compliance</v>
      </c>
      <c r="G144" s="3">
        <v>10</v>
      </c>
      <c r="H144" s="3"/>
      <c r="I144" s="4">
        <v>0</v>
      </c>
      <c r="J144" s="5">
        <f t="shared" si="6"/>
        <v>10</v>
      </c>
      <c r="K144" s="4">
        <v>0</v>
      </c>
      <c r="L144" s="4">
        <v>0</v>
      </c>
      <c r="M144" s="4">
        <v>0</v>
      </c>
      <c r="N144" s="4">
        <f t="shared" si="7"/>
        <v>0</v>
      </c>
      <c r="O144" s="65">
        <f t="shared" si="8"/>
        <v>0</v>
      </c>
    </row>
    <row r="145" spans="1:15" ht="14.4" x14ac:dyDescent="0.3">
      <c r="A145" s="6">
        <v>46147</v>
      </c>
      <c r="B145" s="49" t="s">
        <v>10</v>
      </c>
      <c r="C145" s="4">
        <v>9</v>
      </c>
      <c r="D145" s="2">
        <f>VLOOKUP(B145,[1]lantai9!$B:$G,6,FALSE)</f>
        <v>23000</v>
      </c>
      <c r="E145" s="2">
        <f>VLOOKUP(B145,karyawan!B:D,3,FALSE)</f>
        <v>21760</v>
      </c>
      <c r="F145" s="2" t="str">
        <f>VLOOKUP(B145,karyawan!B:E,4,FALSE)</f>
        <v>Compliance</v>
      </c>
      <c r="G145" s="3">
        <v>7</v>
      </c>
      <c r="H145" s="3"/>
      <c r="I145" s="4">
        <v>5</v>
      </c>
      <c r="J145" s="5">
        <f t="shared" si="6"/>
        <v>2</v>
      </c>
      <c r="K145" s="4">
        <v>0</v>
      </c>
      <c r="L145" s="4">
        <v>5</v>
      </c>
      <c r="M145" s="4">
        <v>5</v>
      </c>
      <c r="N145" s="4">
        <f t="shared" si="7"/>
        <v>0</v>
      </c>
      <c r="O145" s="65">
        <f t="shared" si="8"/>
        <v>0</v>
      </c>
    </row>
    <row r="146" spans="1:15" ht="14.4" x14ac:dyDescent="0.3">
      <c r="A146" s="6">
        <v>46148</v>
      </c>
      <c r="B146" s="49" t="s">
        <v>4</v>
      </c>
      <c r="C146" s="4">
        <v>3</v>
      </c>
      <c r="D146" s="2">
        <f>VLOOKUP(B146,[1]lantai9!$B:$G,6,FALSE)</f>
        <v>35000</v>
      </c>
      <c r="E146" s="2">
        <f>VLOOKUP(B146,karyawan!B:D,3,FALSE)</f>
        <v>34000</v>
      </c>
      <c r="F146" s="2" t="str">
        <f>VLOOKUP(B146,karyawan!B:E,4,FALSE)</f>
        <v>Florida</v>
      </c>
      <c r="G146" s="3">
        <v>5</v>
      </c>
      <c r="H146" s="3"/>
      <c r="I146" s="4">
        <v>0</v>
      </c>
      <c r="J146" s="5">
        <f t="shared" si="6"/>
        <v>5</v>
      </c>
      <c r="K146" s="4">
        <v>0</v>
      </c>
      <c r="L146" s="4">
        <v>0</v>
      </c>
      <c r="M146" s="4">
        <v>0</v>
      </c>
      <c r="N146" s="4">
        <f t="shared" si="7"/>
        <v>0</v>
      </c>
      <c r="O146" s="65">
        <f t="shared" si="8"/>
        <v>0</v>
      </c>
    </row>
    <row r="147" spans="1:15" ht="14.4" x14ac:dyDescent="0.3">
      <c r="A147" s="6">
        <v>46148</v>
      </c>
      <c r="B147" s="49" t="s">
        <v>13</v>
      </c>
      <c r="C147" s="4">
        <v>3</v>
      </c>
      <c r="D147" s="2">
        <f>VLOOKUP(B147,[1]lantai9!$B:$G,6,FALSE)</f>
        <v>23000</v>
      </c>
      <c r="E147" s="2">
        <f>VLOOKUP(B147,karyawan!B:D,3,FALSE)</f>
        <v>22000</v>
      </c>
      <c r="F147" s="2" t="str">
        <f>VLOOKUP(B147,karyawan!B:E,4,FALSE)</f>
        <v>Yohannes</v>
      </c>
      <c r="G147" s="3">
        <v>6</v>
      </c>
      <c r="H147" s="3"/>
      <c r="I147" s="3">
        <v>5</v>
      </c>
      <c r="J147" s="5">
        <f t="shared" si="6"/>
        <v>6</v>
      </c>
      <c r="K147" s="41">
        <v>0</v>
      </c>
      <c r="L147" s="3">
        <v>3</v>
      </c>
      <c r="M147" s="4">
        <v>0</v>
      </c>
      <c r="N147" s="4">
        <f t="shared" si="7"/>
        <v>5</v>
      </c>
      <c r="O147" s="65">
        <f t="shared" si="8"/>
        <v>115000</v>
      </c>
    </row>
    <row r="148" spans="1:15" ht="14.4" x14ac:dyDescent="0.3">
      <c r="A148" s="6">
        <v>46148</v>
      </c>
      <c r="B148" s="49" t="s">
        <v>12</v>
      </c>
      <c r="C148" s="4">
        <v>3</v>
      </c>
      <c r="D148" s="2">
        <f>VLOOKUP(B148,[1]lantai9!$B:$G,6,FALSE)</f>
        <v>21000</v>
      </c>
      <c r="E148" s="2">
        <f>VLOOKUP(B148,karyawan!B:D,3,FALSE)</f>
        <v>20000</v>
      </c>
      <c r="F148" s="2" t="str">
        <f>VLOOKUP(B148,karyawan!B:E,4,FALSE)</f>
        <v>Damaz</v>
      </c>
      <c r="G148" s="3">
        <v>2</v>
      </c>
      <c r="H148" s="3"/>
      <c r="I148" s="4">
        <v>2</v>
      </c>
      <c r="J148" s="5">
        <f t="shared" si="6"/>
        <v>0</v>
      </c>
      <c r="K148" s="4">
        <v>0</v>
      </c>
      <c r="L148" s="4">
        <v>2</v>
      </c>
      <c r="M148" s="4">
        <v>2</v>
      </c>
      <c r="N148" s="4">
        <f t="shared" si="7"/>
        <v>0</v>
      </c>
      <c r="O148" s="65">
        <f t="shared" si="8"/>
        <v>0</v>
      </c>
    </row>
    <row r="149" spans="1:15" ht="14.4" x14ac:dyDescent="0.3">
      <c r="A149" s="6">
        <v>46148</v>
      </c>
      <c r="B149" s="49" t="s">
        <v>11</v>
      </c>
      <c r="C149" s="4">
        <v>3</v>
      </c>
      <c r="D149" s="2">
        <f>VLOOKUP(B149,[1]lantai9!$B:$G,6,FALSE)</f>
        <v>36000</v>
      </c>
      <c r="E149" s="2">
        <f>VLOOKUP(B149,karyawan!B:D,3,FALSE)</f>
        <v>35000</v>
      </c>
      <c r="F149" s="2" t="str">
        <f>VLOOKUP(B149,karyawan!B:E,4,FALSE)</f>
        <v>Damaz</v>
      </c>
      <c r="G149" s="3">
        <v>3</v>
      </c>
      <c r="H149" s="3"/>
      <c r="I149" s="4">
        <v>3</v>
      </c>
      <c r="J149" s="5">
        <f t="shared" si="6"/>
        <v>0</v>
      </c>
      <c r="K149" s="4">
        <v>0</v>
      </c>
      <c r="L149" s="4">
        <v>3</v>
      </c>
      <c r="M149" s="4">
        <v>3</v>
      </c>
      <c r="N149" s="4">
        <f t="shared" si="7"/>
        <v>0</v>
      </c>
      <c r="O149" s="65">
        <f t="shared" si="8"/>
        <v>0</v>
      </c>
    </row>
    <row r="150" spans="1:15" ht="14.4" x14ac:dyDescent="0.3">
      <c r="A150" s="6">
        <v>46148</v>
      </c>
      <c r="B150" s="49" t="s">
        <v>14</v>
      </c>
      <c r="C150" s="4">
        <v>3</v>
      </c>
      <c r="D150" s="2">
        <f>VLOOKUP(B150,[1]lantai9!$B:$G,6,FALSE)</f>
        <v>23000</v>
      </c>
      <c r="E150" s="2">
        <f>VLOOKUP(B150,karyawan!B:D,3,FALSE)</f>
        <v>22000</v>
      </c>
      <c r="F150" s="2" t="str">
        <f>VLOOKUP(B150,karyawan!B:E,4,FALSE)</f>
        <v>Vale</v>
      </c>
      <c r="G150" s="3">
        <v>5</v>
      </c>
      <c r="H150" s="3"/>
      <c r="I150" s="4">
        <v>0</v>
      </c>
      <c r="J150" s="5">
        <f t="shared" si="6"/>
        <v>5</v>
      </c>
      <c r="K150" s="4">
        <v>0</v>
      </c>
      <c r="L150" s="4">
        <v>0</v>
      </c>
      <c r="M150" s="4">
        <v>0</v>
      </c>
      <c r="N150" s="4">
        <f t="shared" si="7"/>
        <v>0</v>
      </c>
      <c r="O150" s="65">
        <f t="shared" si="8"/>
        <v>0</v>
      </c>
    </row>
    <row r="151" spans="1:15" ht="14.4" x14ac:dyDescent="0.3">
      <c r="A151" s="6">
        <v>46148</v>
      </c>
      <c r="B151" s="49" t="s">
        <v>7</v>
      </c>
      <c r="C151" s="4">
        <v>3</v>
      </c>
      <c r="D151" s="2">
        <f>VLOOKUP(B151,[1]lantai9!$B:$G,6,FALSE)</f>
        <v>15000</v>
      </c>
      <c r="E151" s="2">
        <f>VLOOKUP(B151,karyawan!B:D,3,FALSE)</f>
        <v>14000</v>
      </c>
      <c r="F151" s="2" t="str">
        <f>VLOOKUP(B151,karyawan!B:E,4,FALSE)</f>
        <v>Desy</v>
      </c>
      <c r="G151" s="3">
        <v>6</v>
      </c>
      <c r="H151" s="3"/>
      <c r="I151" s="4">
        <v>3</v>
      </c>
      <c r="J151" s="5">
        <f t="shared" si="6"/>
        <v>5</v>
      </c>
      <c r="K151" s="4">
        <v>0</v>
      </c>
      <c r="L151" s="4">
        <v>-2</v>
      </c>
      <c r="M151" s="4">
        <v>1</v>
      </c>
      <c r="N151" s="4">
        <f t="shared" si="7"/>
        <v>2</v>
      </c>
      <c r="O151" s="65">
        <f t="shared" si="8"/>
        <v>30000</v>
      </c>
    </row>
    <row r="152" spans="1:15" ht="14.4" x14ac:dyDescent="0.3">
      <c r="A152" s="6">
        <v>46148</v>
      </c>
      <c r="B152" s="49" t="s">
        <v>16</v>
      </c>
      <c r="C152" s="4">
        <v>3</v>
      </c>
      <c r="D152" s="2">
        <f>VLOOKUP(B152,[1]lantai9!$B:$G,6,FALSE)</f>
        <v>18000</v>
      </c>
      <c r="E152" s="2">
        <f>VLOOKUP(B152,karyawan!B:D,3,FALSE)</f>
        <v>17000</v>
      </c>
      <c r="F152" s="2" t="str">
        <f>VLOOKUP(B152,karyawan!B:E,4,FALSE)</f>
        <v>Geby</v>
      </c>
      <c r="G152" s="3">
        <v>6</v>
      </c>
      <c r="H152" s="3"/>
      <c r="I152" s="4">
        <v>3</v>
      </c>
      <c r="J152" s="5">
        <f t="shared" si="6"/>
        <v>6</v>
      </c>
      <c r="K152" s="4">
        <v>0</v>
      </c>
      <c r="L152" s="4">
        <v>2</v>
      </c>
      <c r="M152" s="4">
        <v>0</v>
      </c>
      <c r="N152" s="4">
        <f t="shared" si="7"/>
        <v>3</v>
      </c>
      <c r="O152" s="65">
        <f t="shared" si="8"/>
        <v>54000</v>
      </c>
    </row>
    <row r="153" spans="1:15" ht="14.4" x14ac:dyDescent="0.3">
      <c r="A153" s="6">
        <v>46148</v>
      </c>
      <c r="B153" s="49" t="s">
        <v>6</v>
      </c>
      <c r="C153" s="4">
        <v>3</v>
      </c>
      <c r="D153" s="2">
        <f>VLOOKUP(B153,[1]lantai9!$B:$G,6,FALSE)</f>
        <v>21000</v>
      </c>
      <c r="E153" s="2">
        <f>VLOOKUP(B153,karyawan!B:D,3,FALSE)</f>
        <v>20000</v>
      </c>
      <c r="F153" s="2" t="str">
        <f>VLOOKUP(B153,karyawan!B:E,4,FALSE)</f>
        <v>Geby</v>
      </c>
      <c r="G153" s="3">
        <v>2</v>
      </c>
      <c r="H153" s="3"/>
      <c r="I153" s="4">
        <v>1</v>
      </c>
      <c r="J153" s="5">
        <f t="shared" si="6"/>
        <v>2</v>
      </c>
      <c r="K153" s="4">
        <v>0</v>
      </c>
      <c r="L153" s="4">
        <v>0</v>
      </c>
      <c r="M153" s="4">
        <v>0</v>
      </c>
      <c r="N153" s="4">
        <f t="shared" si="7"/>
        <v>1</v>
      </c>
      <c r="O153" s="65">
        <f t="shared" si="8"/>
        <v>21000</v>
      </c>
    </row>
    <row r="154" spans="1:15" ht="14.4" x14ac:dyDescent="0.3">
      <c r="A154" s="6">
        <v>46148</v>
      </c>
      <c r="B154" s="49" t="s">
        <v>20</v>
      </c>
      <c r="C154" s="4">
        <v>3</v>
      </c>
      <c r="D154" s="2">
        <f>VLOOKUP(B154,[1]lantai9!$B:$G,6,FALSE)</f>
        <v>35000</v>
      </c>
      <c r="E154" s="2">
        <f>VLOOKUP(B154,karyawan!B:D,3,FALSE)</f>
        <v>34000</v>
      </c>
      <c r="F154" s="2" t="str">
        <f>VLOOKUP(B154,karyawan!B:E,4,FALSE)</f>
        <v>Sherly</v>
      </c>
      <c r="G154" s="3">
        <v>2</v>
      </c>
      <c r="H154" s="3"/>
      <c r="I154" s="4">
        <v>2</v>
      </c>
      <c r="J154" s="5">
        <f t="shared" si="6"/>
        <v>2</v>
      </c>
      <c r="K154" s="4">
        <v>0</v>
      </c>
      <c r="L154" s="4">
        <v>1</v>
      </c>
      <c r="M154" s="4">
        <v>0</v>
      </c>
      <c r="N154" s="4">
        <f t="shared" si="7"/>
        <v>2</v>
      </c>
      <c r="O154" s="65">
        <f t="shared" si="8"/>
        <v>70000</v>
      </c>
    </row>
    <row r="155" spans="1:15" ht="14.4" x14ac:dyDescent="0.3">
      <c r="A155" s="6">
        <v>46148</v>
      </c>
      <c r="B155" s="49" t="s">
        <v>21</v>
      </c>
      <c r="C155" s="4">
        <v>3</v>
      </c>
      <c r="D155" s="2">
        <f>VLOOKUP(B155,[1]lantai9!$B:$G,6,FALSE)</f>
        <v>40000</v>
      </c>
      <c r="E155" s="2">
        <f>VLOOKUP(B155,karyawan!B:D,3,FALSE)</f>
        <v>39000</v>
      </c>
      <c r="F155" s="2" t="str">
        <f>VLOOKUP(B155,karyawan!B:E,4,FALSE)</f>
        <v>Sherly</v>
      </c>
      <c r="G155" s="3">
        <v>4</v>
      </c>
      <c r="H155" s="3"/>
      <c r="I155" s="4">
        <v>2</v>
      </c>
      <c r="J155" s="5">
        <f t="shared" si="6"/>
        <v>4</v>
      </c>
      <c r="K155" s="4">
        <v>0</v>
      </c>
      <c r="L155" s="4">
        <v>0</v>
      </c>
      <c r="M155" s="4">
        <v>0</v>
      </c>
      <c r="N155" s="4">
        <f t="shared" si="7"/>
        <v>2</v>
      </c>
      <c r="O155" s="65">
        <f t="shared" si="8"/>
        <v>80000</v>
      </c>
    </row>
    <row r="156" spans="1:15" ht="14.4" x14ac:dyDescent="0.3">
      <c r="A156" s="6">
        <v>46148</v>
      </c>
      <c r="B156" s="49" t="s">
        <v>19</v>
      </c>
      <c r="C156" s="4">
        <v>3</v>
      </c>
      <c r="D156" s="2">
        <f>VLOOKUP(B156,[1]lantai9!$B:$G,6,FALSE)</f>
        <v>2500</v>
      </c>
      <c r="E156" s="2">
        <f>VLOOKUP(B156,karyawan!B:D,3,FALSE)</f>
        <v>1480</v>
      </c>
      <c r="F156" s="2" t="str">
        <f>VLOOKUP(B156,karyawan!B:E,4,FALSE)</f>
        <v>Compliance</v>
      </c>
      <c r="G156" s="3">
        <v>12</v>
      </c>
      <c r="H156" s="3"/>
      <c r="I156" s="4">
        <v>12</v>
      </c>
      <c r="J156" s="5">
        <f t="shared" si="6"/>
        <v>0</v>
      </c>
      <c r="K156" s="4">
        <v>0</v>
      </c>
      <c r="L156" s="4">
        <v>12</v>
      </c>
      <c r="M156" s="4">
        <v>12</v>
      </c>
      <c r="N156" s="4">
        <f t="shared" si="7"/>
        <v>0</v>
      </c>
      <c r="O156" s="65">
        <f t="shared" si="8"/>
        <v>0</v>
      </c>
    </row>
    <row r="157" spans="1:15" ht="14.4" x14ac:dyDescent="0.3">
      <c r="A157" s="6">
        <v>46148</v>
      </c>
      <c r="B157" s="49" t="s">
        <v>17</v>
      </c>
      <c r="C157" s="4">
        <v>3</v>
      </c>
      <c r="D157" s="2">
        <f>VLOOKUP(B157,[1]lantai9!$B:$G,6,FALSE)</f>
        <v>2000</v>
      </c>
      <c r="E157" s="2">
        <f>VLOOKUP(B157,karyawan!B:D,3,FALSE)</f>
        <v>1074</v>
      </c>
      <c r="F157" s="2" t="str">
        <f>VLOOKUP(B157,karyawan!B:E,4,FALSE)</f>
        <v>Compliance</v>
      </c>
      <c r="G157" s="3">
        <v>10</v>
      </c>
      <c r="H157" s="3"/>
      <c r="I157" s="4">
        <v>10</v>
      </c>
      <c r="J157" s="5">
        <f t="shared" si="6"/>
        <v>4</v>
      </c>
      <c r="K157" s="4">
        <v>0</v>
      </c>
      <c r="L157" s="4">
        <v>13</v>
      </c>
      <c r="M157" s="4">
        <v>6</v>
      </c>
      <c r="N157" s="4">
        <f t="shared" si="7"/>
        <v>4</v>
      </c>
      <c r="O157" s="65">
        <f t="shared" si="8"/>
        <v>8000</v>
      </c>
    </row>
    <row r="158" spans="1:15" ht="14.4" x14ac:dyDescent="0.3">
      <c r="A158" s="6">
        <v>46148</v>
      </c>
      <c r="B158" s="49" t="s">
        <v>5</v>
      </c>
      <c r="C158" s="4">
        <v>3</v>
      </c>
      <c r="D158" s="2">
        <f>VLOOKUP(B158,[1]lantai9!$B:$G,6,FALSE)</f>
        <v>2500</v>
      </c>
      <c r="E158" s="2">
        <f>VLOOKUP(B158,karyawan!B:D,3,FALSE)</f>
        <v>1465</v>
      </c>
      <c r="F158" s="2" t="str">
        <f>VLOOKUP(B158,karyawan!B:E,4,FALSE)</f>
        <v>Compliance</v>
      </c>
      <c r="G158" s="3">
        <v>10</v>
      </c>
      <c r="H158" s="3"/>
      <c r="I158" s="4">
        <v>2</v>
      </c>
      <c r="J158" s="5">
        <f t="shared" si="6"/>
        <v>10</v>
      </c>
      <c r="K158" s="4">
        <v>0</v>
      </c>
      <c r="L158" s="4">
        <v>8</v>
      </c>
      <c r="M158" s="4">
        <v>0</v>
      </c>
      <c r="N158" s="4">
        <f t="shared" si="7"/>
        <v>2</v>
      </c>
      <c r="O158" s="65">
        <f t="shared" si="8"/>
        <v>5000</v>
      </c>
    </row>
    <row r="159" spans="1:15" ht="14.4" x14ac:dyDescent="0.3">
      <c r="A159" s="6">
        <v>46148</v>
      </c>
      <c r="B159" s="49" t="s">
        <v>3</v>
      </c>
      <c r="C159" s="4">
        <v>3</v>
      </c>
      <c r="D159" s="2">
        <f>VLOOKUP(B159,[1]lantai9!$B:$G,6,FALSE)</f>
        <v>10000</v>
      </c>
      <c r="E159" s="2">
        <f>VLOOKUP(B159,karyawan!B:D,3,FALSE)</f>
        <v>9200</v>
      </c>
      <c r="F159" s="2" t="str">
        <f>VLOOKUP(B159,karyawan!B:E,4,FALSE)</f>
        <v>Compliance</v>
      </c>
      <c r="G159" s="3">
        <v>15</v>
      </c>
      <c r="H159" s="3"/>
      <c r="I159" s="4">
        <v>13</v>
      </c>
      <c r="J159" s="5">
        <f t="shared" si="6"/>
        <v>15</v>
      </c>
      <c r="K159" s="4">
        <v>0</v>
      </c>
      <c r="L159" s="4">
        <v>-2</v>
      </c>
      <c r="M159" s="4">
        <v>0</v>
      </c>
      <c r="N159" s="4">
        <f t="shared" si="7"/>
        <v>13</v>
      </c>
      <c r="O159" s="65">
        <f t="shared" si="8"/>
        <v>130000</v>
      </c>
    </row>
    <row r="160" spans="1:15" ht="14.4" x14ac:dyDescent="0.3">
      <c r="A160" s="6">
        <v>46148</v>
      </c>
      <c r="B160" s="49" t="s">
        <v>18</v>
      </c>
      <c r="C160" s="4">
        <v>3</v>
      </c>
      <c r="D160" s="2">
        <f>VLOOKUP(B160,[1]lantai9!$B:$G,6,FALSE)</f>
        <v>15000</v>
      </c>
      <c r="E160" s="2">
        <f>VLOOKUP(B160,karyawan!B:D,3,FALSE)</f>
        <v>13807</v>
      </c>
      <c r="F160" s="2" t="str">
        <f>VLOOKUP(B160,karyawan!B:E,4,FALSE)</f>
        <v>Compliance</v>
      </c>
      <c r="G160" s="3">
        <v>10</v>
      </c>
      <c r="H160" s="3"/>
      <c r="I160" s="4">
        <v>2</v>
      </c>
      <c r="J160" s="5">
        <f t="shared" si="6"/>
        <v>10</v>
      </c>
      <c r="K160" s="4">
        <v>0</v>
      </c>
      <c r="L160" s="4">
        <v>4</v>
      </c>
      <c r="M160" s="4">
        <v>0</v>
      </c>
      <c r="N160" s="4">
        <f t="shared" si="7"/>
        <v>2</v>
      </c>
      <c r="O160" s="65">
        <f t="shared" si="8"/>
        <v>30000</v>
      </c>
    </row>
    <row r="161" spans="1:15" ht="14.4" x14ac:dyDescent="0.3">
      <c r="A161" s="6">
        <v>46148</v>
      </c>
      <c r="B161" s="49" t="s">
        <v>10</v>
      </c>
      <c r="C161" s="4">
        <v>3</v>
      </c>
      <c r="D161" s="2">
        <f>VLOOKUP(B161,[1]lantai9!$B:$G,6,FALSE)</f>
        <v>23000</v>
      </c>
      <c r="E161" s="2">
        <f>VLOOKUP(B161,karyawan!B:D,3,FALSE)</f>
        <v>21760</v>
      </c>
      <c r="F161" s="2" t="str">
        <f>VLOOKUP(B161,karyawan!B:E,4,FALSE)</f>
        <v>Compliance</v>
      </c>
      <c r="G161" s="3">
        <v>7</v>
      </c>
      <c r="H161" s="3"/>
      <c r="I161" s="3">
        <v>4</v>
      </c>
      <c r="J161" s="5">
        <f t="shared" si="6"/>
        <v>3</v>
      </c>
      <c r="K161" s="41">
        <v>0</v>
      </c>
      <c r="L161" s="4">
        <v>5</v>
      </c>
      <c r="M161" s="4">
        <v>4</v>
      </c>
      <c r="N161" s="4">
        <f t="shared" si="7"/>
        <v>0</v>
      </c>
      <c r="O161" s="65">
        <f t="shared" si="8"/>
        <v>0</v>
      </c>
    </row>
    <row r="162" spans="1:15" ht="14.4" x14ac:dyDescent="0.3">
      <c r="A162" s="6">
        <v>46148</v>
      </c>
      <c r="B162" s="50" t="s">
        <v>23</v>
      </c>
      <c r="C162" s="4">
        <v>3</v>
      </c>
      <c r="D162" s="2">
        <f>VLOOKUP(B162,[1]lantai9!$B:$G,6,FALSE)</f>
        <v>11000</v>
      </c>
      <c r="E162" s="2">
        <f>VLOOKUP(B162,karyawan!B:D,3,FALSE)</f>
        <v>10000</v>
      </c>
      <c r="F162" s="2" t="str">
        <f>VLOOKUP(B162,karyawan!B:E,4,FALSE)</f>
        <v>Compliance</v>
      </c>
      <c r="G162" s="3">
        <v>8</v>
      </c>
      <c r="H162" s="3"/>
      <c r="I162" s="3">
        <v>6</v>
      </c>
      <c r="J162" s="5">
        <f t="shared" si="6"/>
        <v>6</v>
      </c>
      <c r="K162" s="41">
        <v>0</v>
      </c>
      <c r="L162" s="4">
        <v>2</v>
      </c>
      <c r="M162" s="4">
        <v>2</v>
      </c>
      <c r="N162" s="4">
        <f t="shared" si="7"/>
        <v>4</v>
      </c>
      <c r="O162" s="65">
        <f t="shared" si="8"/>
        <v>44000</v>
      </c>
    </row>
    <row r="163" spans="1:15" ht="14.4" x14ac:dyDescent="0.3">
      <c r="A163" s="6">
        <v>46148</v>
      </c>
      <c r="B163" s="50" t="s">
        <v>24</v>
      </c>
      <c r="C163" s="4">
        <v>3</v>
      </c>
      <c r="D163" s="2">
        <f>VLOOKUP(B163,[1]lantai9!$B:$G,6,FALSE)</f>
        <v>14500</v>
      </c>
      <c r="E163" s="2">
        <f>VLOOKUP(B163,karyawan!B:D,3,FALSE)</f>
        <v>13500</v>
      </c>
      <c r="F163" s="2" t="str">
        <f>VLOOKUP(B163,karyawan!B:E,4,FALSE)</f>
        <v>Compliance</v>
      </c>
      <c r="G163" s="3">
        <v>6</v>
      </c>
      <c r="H163" s="3"/>
      <c r="I163" s="4">
        <v>5</v>
      </c>
      <c r="J163" s="5">
        <f t="shared" si="6"/>
        <v>6</v>
      </c>
      <c r="K163" s="4">
        <v>0</v>
      </c>
      <c r="L163" s="4">
        <v>0</v>
      </c>
      <c r="M163" s="4">
        <v>0</v>
      </c>
      <c r="N163" s="4">
        <f t="shared" si="7"/>
        <v>5</v>
      </c>
      <c r="O163" s="65">
        <f t="shared" si="8"/>
        <v>72500</v>
      </c>
    </row>
    <row r="164" spans="1:15" ht="14.4" x14ac:dyDescent="0.3">
      <c r="A164" s="6">
        <v>46148</v>
      </c>
      <c r="B164" s="50" t="s">
        <v>15</v>
      </c>
      <c r="C164" s="4">
        <v>3</v>
      </c>
      <c r="D164" s="2">
        <f>VLOOKUP(B164,[1]lantai9!$B:$G,6,FALSE)</f>
        <v>3500</v>
      </c>
      <c r="E164" s="2">
        <f>VLOOKUP(B164,karyawan!B:D,3,FALSE)</f>
        <v>2500</v>
      </c>
      <c r="F164" s="2" t="str">
        <f>VLOOKUP(B164,karyawan!B:E,4,FALSE)</f>
        <v>Compliance</v>
      </c>
      <c r="G164" s="3">
        <v>20</v>
      </c>
      <c r="H164" s="3"/>
      <c r="I164" s="3">
        <v>0</v>
      </c>
      <c r="J164" s="5">
        <f t="shared" si="6"/>
        <v>20</v>
      </c>
      <c r="K164" s="41">
        <v>0</v>
      </c>
      <c r="L164" s="4">
        <v>0</v>
      </c>
      <c r="M164" s="4">
        <v>0</v>
      </c>
      <c r="N164" s="4">
        <f t="shared" si="7"/>
        <v>0</v>
      </c>
      <c r="O164" s="65">
        <f t="shared" si="8"/>
        <v>0</v>
      </c>
    </row>
    <row r="165" spans="1:15" ht="14.4" x14ac:dyDescent="0.3">
      <c r="A165" s="6">
        <v>46148</v>
      </c>
      <c r="B165" s="49" t="s">
        <v>4</v>
      </c>
      <c r="C165" s="4">
        <v>8</v>
      </c>
      <c r="D165" s="2">
        <f>VLOOKUP(B165,[1]lantai9!$B:$G,6,FALSE)</f>
        <v>35000</v>
      </c>
      <c r="E165" s="2">
        <f>VLOOKUP(B165,karyawan!B:D,3,FALSE)</f>
        <v>34000</v>
      </c>
      <c r="F165" s="2" t="str">
        <f>VLOOKUP(B165,karyawan!B:E,4,FALSE)</f>
        <v>Florida</v>
      </c>
      <c r="G165" s="3">
        <v>5</v>
      </c>
      <c r="H165" s="3"/>
      <c r="I165" s="4">
        <v>4</v>
      </c>
      <c r="J165" s="5">
        <f t="shared" si="6"/>
        <v>1</v>
      </c>
      <c r="K165" s="4">
        <v>0</v>
      </c>
      <c r="L165" s="4">
        <v>5</v>
      </c>
      <c r="M165" s="3">
        <v>4</v>
      </c>
      <c r="N165" s="4">
        <f t="shared" si="7"/>
        <v>0</v>
      </c>
      <c r="O165" s="65">
        <f t="shared" si="8"/>
        <v>0</v>
      </c>
    </row>
    <row r="166" spans="1:15" ht="14.4" x14ac:dyDescent="0.3">
      <c r="A166" s="6">
        <v>46148</v>
      </c>
      <c r="B166" s="49" t="s">
        <v>13</v>
      </c>
      <c r="C166" s="4">
        <v>8</v>
      </c>
      <c r="D166" s="2">
        <f>VLOOKUP(B166,[1]lantai9!$B:$G,6,FALSE)</f>
        <v>23000</v>
      </c>
      <c r="E166" s="2">
        <f>VLOOKUP(B166,karyawan!B:D,3,FALSE)</f>
        <v>22000</v>
      </c>
      <c r="F166" s="2" t="str">
        <f>VLOOKUP(B166,karyawan!B:E,4,FALSE)</f>
        <v>Yohannes</v>
      </c>
      <c r="G166" s="3">
        <v>6</v>
      </c>
      <c r="H166" s="3"/>
      <c r="I166" s="4">
        <v>5</v>
      </c>
      <c r="J166" s="5">
        <f t="shared" si="6"/>
        <v>6</v>
      </c>
      <c r="K166" s="4">
        <v>0</v>
      </c>
      <c r="L166" s="4">
        <v>4</v>
      </c>
      <c r="M166" s="4">
        <v>0</v>
      </c>
      <c r="N166" s="4">
        <f t="shared" si="7"/>
        <v>5</v>
      </c>
      <c r="O166" s="65">
        <f t="shared" si="8"/>
        <v>115000</v>
      </c>
    </row>
    <row r="167" spans="1:15" ht="14.4" x14ac:dyDescent="0.3">
      <c r="A167" s="6">
        <v>46148</v>
      </c>
      <c r="B167" s="49" t="s">
        <v>12</v>
      </c>
      <c r="C167" s="4">
        <v>8</v>
      </c>
      <c r="D167" s="2">
        <f>VLOOKUP(B167,[1]lantai9!$B:$G,6,FALSE)</f>
        <v>21000</v>
      </c>
      <c r="E167" s="2">
        <f>VLOOKUP(B167,karyawan!B:D,3,FALSE)</f>
        <v>20000</v>
      </c>
      <c r="F167" s="2" t="str">
        <f>VLOOKUP(B167,karyawan!B:E,4,FALSE)</f>
        <v>Damaz</v>
      </c>
      <c r="G167" s="3">
        <v>2</v>
      </c>
      <c r="H167" s="3"/>
      <c r="I167" s="4">
        <v>1</v>
      </c>
      <c r="J167" s="5">
        <f t="shared" si="6"/>
        <v>1</v>
      </c>
      <c r="K167" s="4">
        <v>0</v>
      </c>
      <c r="L167" s="4">
        <v>1</v>
      </c>
      <c r="M167" s="4">
        <v>1</v>
      </c>
      <c r="N167" s="4">
        <f t="shared" si="7"/>
        <v>0</v>
      </c>
      <c r="O167" s="65">
        <f t="shared" si="8"/>
        <v>0</v>
      </c>
    </row>
    <row r="168" spans="1:15" ht="14.4" x14ac:dyDescent="0.3">
      <c r="A168" s="6">
        <v>46148</v>
      </c>
      <c r="B168" s="49" t="s">
        <v>11</v>
      </c>
      <c r="C168" s="4">
        <v>8</v>
      </c>
      <c r="D168" s="2">
        <f>VLOOKUP(B168,[1]lantai9!$B:$G,6,FALSE)</f>
        <v>36000</v>
      </c>
      <c r="E168" s="2">
        <f>VLOOKUP(B168,karyawan!B:D,3,FALSE)</f>
        <v>35000</v>
      </c>
      <c r="F168" s="2" t="str">
        <f>VLOOKUP(B168,karyawan!B:E,4,FALSE)</f>
        <v>Damaz</v>
      </c>
      <c r="G168" s="3">
        <v>3</v>
      </c>
      <c r="H168" s="3"/>
      <c r="I168" s="4">
        <v>2</v>
      </c>
      <c r="J168" s="5">
        <f t="shared" si="6"/>
        <v>1</v>
      </c>
      <c r="K168" s="4">
        <v>0</v>
      </c>
      <c r="L168" s="4">
        <v>3</v>
      </c>
      <c r="M168" s="4">
        <v>2</v>
      </c>
      <c r="N168" s="4">
        <f t="shared" si="7"/>
        <v>0</v>
      </c>
      <c r="O168" s="65">
        <f t="shared" si="8"/>
        <v>0</v>
      </c>
    </row>
    <row r="169" spans="1:15" ht="14.4" x14ac:dyDescent="0.3">
      <c r="A169" s="6">
        <v>46148</v>
      </c>
      <c r="B169" s="49" t="s">
        <v>14</v>
      </c>
      <c r="C169" s="4">
        <v>8</v>
      </c>
      <c r="D169" s="2">
        <f>VLOOKUP(B169,[1]lantai9!$B:$G,6,FALSE)</f>
        <v>23000</v>
      </c>
      <c r="E169" s="2">
        <f>VLOOKUP(B169,karyawan!B:D,3,FALSE)</f>
        <v>22000</v>
      </c>
      <c r="F169" s="2" t="str">
        <f>VLOOKUP(B169,karyawan!B:E,4,FALSE)</f>
        <v>Vale</v>
      </c>
      <c r="G169" s="3">
        <v>5</v>
      </c>
      <c r="H169" s="3"/>
      <c r="I169" s="4">
        <v>0</v>
      </c>
      <c r="J169" s="5">
        <f t="shared" si="6"/>
        <v>5</v>
      </c>
      <c r="K169" s="4">
        <v>0</v>
      </c>
      <c r="L169" s="4">
        <v>1</v>
      </c>
      <c r="M169" s="4">
        <v>0</v>
      </c>
      <c r="N169" s="4">
        <f t="shared" si="7"/>
        <v>0</v>
      </c>
      <c r="O169" s="65">
        <f t="shared" si="8"/>
        <v>0</v>
      </c>
    </row>
    <row r="170" spans="1:15" ht="14.4" x14ac:dyDescent="0.3">
      <c r="A170" s="6">
        <v>46148</v>
      </c>
      <c r="B170" s="49" t="s">
        <v>7</v>
      </c>
      <c r="C170" s="4">
        <v>8</v>
      </c>
      <c r="D170" s="2">
        <f>VLOOKUP(B170,[1]lantai9!$B:$G,6,FALSE)</f>
        <v>15000</v>
      </c>
      <c r="E170" s="2">
        <f>VLOOKUP(B170,karyawan!B:D,3,FALSE)</f>
        <v>14000</v>
      </c>
      <c r="F170" s="2" t="str">
        <f>VLOOKUP(B170,karyawan!B:E,4,FALSE)</f>
        <v>Desy</v>
      </c>
      <c r="G170" s="3">
        <v>6</v>
      </c>
      <c r="H170" s="3"/>
      <c r="I170" s="4">
        <v>6</v>
      </c>
      <c r="J170" s="5">
        <f t="shared" si="6"/>
        <v>2</v>
      </c>
      <c r="K170" s="4">
        <v>0</v>
      </c>
      <c r="L170" s="4">
        <v>6</v>
      </c>
      <c r="M170" s="4">
        <v>4</v>
      </c>
      <c r="N170" s="4">
        <f t="shared" si="7"/>
        <v>2</v>
      </c>
      <c r="O170" s="65">
        <f t="shared" si="8"/>
        <v>30000</v>
      </c>
    </row>
    <row r="171" spans="1:15" ht="14.4" x14ac:dyDescent="0.3">
      <c r="A171" s="6">
        <v>46148</v>
      </c>
      <c r="B171" s="49" t="s">
        <v>16</v>
      </c>
      <c r="C171" s="4">
        <v>8</v>
      </c>
      <c r="D171" s="2">
        <f>VLOOKUP(B171,[1]lantai9!$B:$G,6,FALSE)</f>
        <v>18000</v>
      </c>
      <c r="E171" s="2">
        <f>VLOOKUP(B171,karyawan!B:D,3,FALSE)</f>
        <v>17000</v>
      </c>
      <c r="F171" s="2" t="str">
        <f>VLOOKUP(B171,karyawan!B:E,4,FALSE)</f>
        <v>Geby</v>
      </c>
      <c r="G171" s="3">
        <v>6</v>
      </c>
      <c r="H171" s="3"/>
      <c r="I171" s="4">
        <v>1</v>
      </c>
      <c r="J171" s="5">
        <f t="shared" si="6"/>
        <v>5</v>
      </c>
      <c r="K171" s="4">
        <v>0</v>
      </c>
      <c r="L171" s="4">
        <v>2</v>
      </c>
      <c r="M171" s="4">
        <v>1</v>
      </c>
      <c r="N171" s="4">
        <f t="shared" si="7"/>
        <v>0</v>
      </c>
      <c r="O171" s="65">
        <f t="shared" si="8"/>
        <v>0</v>
      </c>
    </row>
    <row r="172" spans="1:15" ht="14.4" x14ac:dyDescent="0.3">
      <c r="A172" s="6">
        <v>46148</v>
      </c>
      <c r="B172" s="49" t="s">
        <v>6</v>
      </c>
      <c r="C172" s="4">
        <v>8</v>
      </c>
      <c r="D172" s="2">
        <f>VLOOKUP(B172,[1]lantai9!$B:$G,6,FALSE)</f>
        <v>21000</v>
      </c>
      <c r="E172" s="2">
        <f>VLOOKUP(B172,karyawan!B:D,3,FALSE)</f>
        <v>20000</v>
      </c>
      <c r="F172" s="2" t="str">
        <f>VLOOKUP(B172,karyawan!B:E,4,FALSE)</f>
        <v>Geby</v>
      </c>
      <c r="G172" s="3">
        <v>2</v>
      </c>
      <c r="H172" s="3"/>
      <c r="I172" s="4">
        <v>1</v>
      </c>
      <c r="J172" s="5">
        <f t="shared" si="6"/>
        <v>2</v>
      </c>
      <c r="K172" s="4">
        <v>0</v>
      </c>
      <c r="L172" s="4">
        <v>1</v>
      </c>
      <c r="M172" s="4">
        <v>0</v>
      </c>
      <c r="N172" s="4">
        <f t="shared" si="7"/>
        <v>1</v>
      </c>
      <c r="O172" s="65">
        <f t="shared" si="8"/>
        <v>21000</v>
      </c>
    </row>
    <row r="173" spans="1:15" ht="14.4" x14ac:dyDescent="0.3">
      <c r="A173" s="6">
        <v>46148</v>
      </c>
      <c r="B173" s="49" t="s">
        <v>20</v>
      </c>
      <c r="C173" s="4">
        <v>8</v>
      </c>
      <c r="D173" s="2">
        <f>VLOOKUP(B173,[1]lantai9!$B:$G,6,FALSE)</f>
        <v>35000</v>
      </c>
      <c r="E173" s="2">
        <f>VLOOKUP(B173,karyawan!B:D,3,FALSE)</f>
        <v>34000</v>
      </c>
      <c r="F173" s="2" t="str">
        <f>VLOOKUP(B173,karyawan!B:E,4,FALSE)</f>
        <v>Sherly</v>
      </c>
      <c r="G173" s="3">
        <v>2</v>
      </c>
      <c r="H173" s="3"/>
      <c r="I173" s="4">
        <v>1</v>
      </c>
      <c r="J173" s="5">
        <f t="shared" si="6"/>
        <v>2</v>
      </c>
      <c r="K173" s="4">
        <v>0</v>
      </c>
      <c r="L173" s="4">
        <v>0</v>
      </c>
      <c r="M173" s="4">
        <v>0</v>
      </c>
      <c r="N173" s="4">
        <f t="shared" si="7"/>
        <v>1</v>
      </c>
      <c r="O173" s="65">
        <f t="shared" si="8"/>
        <v>35000</v>
      </c>
    </row>
    <row r="174" spans="1:15" ht="14.4" x14ac:dyDescent="0.3">
      <c r="A174" s="6">
        <v>46148</v>
      </c>
      <c r="B174" s="49" t="s">
        <v>21</v>
      </c>
      <c r="C174" s="4">
        <v>8</v>
      </c>
      <c r="D174" s="2">
        <f>VLOOKUP(B174,[1]lantai9!$B:$G,6,FALSE)</f>
        <v>40000</v>
      </c>
      <c r="E174" s="2">
        <f>VLOOKUP(B174,karyawan!B:D,3,FALSE)</f>
        <v>39000</v>
      </c>
      <c r="F174" s="2" t="str">
        <f>VLOOKUP(B174,karyawan!B:E,4,FALSE)</f>
        <v>Sherly</v>
      </c>
      <c r="G174" s="3">
        <v>4</v>
      </c>
      <c r="H174" s="3"/>
      <c r="I174" s="4">
        <v>3</v>
      </c>
      <c r="J174" s="5">
        <f t="shared" si="6"/>
        <v>4</v>
      </c>
      <c r="K174" s="4">
        <v>0</v>
      </c>
      <c r="L174" s="4">
        <v>1</v>
      </c>
      <c r="M174" s="4">
        <v>0</v>
      </c>
      <c r="N174" s="4">
        <f t="shared" si="7"/>
        <v>3</v>
      </c>
      <c r="O174" s="65">
        <f t="shared" si="8"/>
        <v>120000</v>
      </c>
    </row>
    <row r="175" spans="1:15" ht="14.4" x14ac:dyDescent="0.3">
      <c r="A175" s="6">
        <v>46148</v>
      </c>
      <c r="B175" s="49" t="s">
        <v>19</v>
      </c>
      <c r="C175" s="4">
        <v>8</v>
      </c>
      <c r="D175" s="2">
        <f>VLOOKUP(B175,[1]lantai9!$B:$G,6,FALSE)</f>
        <v>2500</v>
      </c>
      <c r="E175" s="2">
        <f>VLOOKUP(B175,karyawan!B:D,3,FALSE)</f>
        <v>1480</v>
      </c>
      <c r="F175" s="2" t="str">
        <f>VLOOKUP(B175,karyawan!B:E,4,FALSE)</f>
        <v>Compliance</v>
      </c>
      <c r="G175" s="3">
        <v>12</v>
      </c>
      <c r="H175" s="3"/>
      <c r="I175" s="4">
        <v>6</v>
      </c>
      <c r="J175" s="5">
        <f t="shared" si="6"/>
        <v>12</v>
      </c>
      <c r="K175" s="4">
        <v>0</v>
      </c>
      <c r="L175" s="4">
        <v>5</v>
      </c>
      <c r="M175" s="4">
        <v>0</v>
      </c>
      <c r="N175" s="4">
        <f t="shared" si="7"/>
        <v>6</v>
      </c>
      <c r="O175" s="65">
        <f t="shared" si="8"/>
        <v>15000</v>
      </c>
    </row>
    <row r="176" spans="1:15" ht="14.4" x14ac:dyDescent="0.3">
      <c r="A176" s="6">
        <v>46148</v>
      </c>
      <c r="B176" s="49" t="s">
        <v>17</v>
      </c>
      <c r="C176" s="4">
        <v>8</v>
      </c>
      <c r="D176" s="2">
        <f>VLOOKUP(B176,[1]lantai9!$B:$G,6,FALSE)</f>
        <v>2000</v>
      </c>
      <c r="E176" s="2">
        <f>VLOOKUP(B176,karyawan!B:D,3,FALSE)</f>
        <v>1074</v>
      </c>
      <c r="F176" s="2" t="str">
        <f>VLOOKUP(B176,karyawan!B:E,4,FALSE)</f>
        <v>Compliance</v>
      </c>
      <c r="G176" s="3">
        <v>10</v>
      </c>
      <c r="H176" s="3"/>
      <c r="I176" s="4">
        <v>8</v>
      </c>
      <c r="J176" s="5">
        <f t="shared" si="6"/>
        <v>9</v>
      </c>
      <c r="K176" s="4">
        <v>0</v>
      </c>
      <c r="L176" s="4">
        <v>-5</v>
      </c>
      <c r="M176" s="4">
        <v>1</v>
      </c>
      <c r="N176" s="4">
        <f t="shared" si="7"/>
        <v>7</v>
      </c>
      <c r="O176" s="65">
        <f t="shared" si="8"/>
        <v>14000</v>
      </c>
    </row>
    <row r="177" spans="1:15" ht="14.4" x14ac:dyDescent="0.3">
      <c r="A177" s="6">
        <v>46148</v>
      </c>
      <c r="B177" s="49" t="s">
        <v>5</v>
      </c>
      <c r="C177" s="4">
        <v>8</v>
      </c>
      <c r="D177" s="2">
        <f>VLOOKUP(B177,[1]lantai9!$B:$G,6,FALSE)</f>
        <v>2500</v>
      </c>
      <c r="E177" s="2">
        <f>VLOOKUP(B177,karyawan!B:D,3,FALSE)</f>
        <v>1465</v>
      </c>
      <c r="F177" s="2" t="str">
        <f>VLOOKUP(B177,karyawan!B:E,4,FALSE)</f>
        <v>Compliance</v>
      </c>
      <c r="G177" s="3">
        <v>10</v>
      </c>
      <c r="H177" s="3"/>
      <c r="I177" s="4">
        <v>2</v>
      </c>
      <c r="J177" s="5">
        <f t="shared" si="6"/>
        <v>6</v>
      </c>
      <c r="K177" s="4">
        <v>0</v>
      </c>
      <c r="L177" s="4">
        <v>5</v>
      </c>
      <c r="M177" s="4">
        <v>4</v>
      </c>
      <c r="N177" s="4">
        <f t="shared" si="7"/>
        <v>0</v>
      </c>
      <c r="O177" s="65">
        <f t="shared" si="8"/>
        <v>0</v>
      </c>
    </row>
    <row r="178" spans="1:15" ht="14.4" x14ac:dyDescent="0.3">
      <c r="A178" s="6">
        <v>46148</v>
      </c>
      <c r="B178" s="49" t="s">
        <v>3</v>
      </c>
      <c r="C178" s="4">
        <v>8</v>
      </c>
      <c r="D178" s="2">
        <f>VLOOKUP(B178,[1]lantai9!$B:$G,6,FALSE)</f>
        <v>10000</v>
      </c>
      <c r="E178" s="2">
        <f>VLOOKUP(B178,karyawan!B:D,3,FALSE)</f>
        <v>9200</v>
      </c>
      <c r="F178" s="2" t="str">
        <f>VLOOKUP(B178,karyawan!B:E,4,FALSE)</f>
        <v>Compliance</v>
      </c>
      <c r="G178" s="3">
        <v>15</v>
      </c>
      <c r="H178" s="3"/>
      <c r="I178" s="4">
        <v>15</v>
      </c>
      <c r="J178" s="5">
        <f t="shared" si="6"/>
        <v>4</v>
      </c>
      <c r="K178" s="4">
        <v>0</v>
      </c>
      <c r="L178" s="4">
        <v>11</v>
      </c>
      <c r="M178" s="4">
        <v>11</v>
      </c>
      <c r="N178" s="4">
        <f t="shared" si="7"/>
        <v>4</v>
      </c>
      <c r="O178" s="65">
        <f t="shared" si="8"/>
        <v>40000</v>
      </c>
    </row>
    <row r="179" spans="1:15" ht="14.4" x14ac:dyDescent="0.3">
      <c r="A179" s="6">
        <v>46148</v>
      </c>
      <c r="B179" s="49" t="s">
        <v>18</v>
      </c>
      <c r="C179" s="4">
        <v>8</v>
      </c>
      <c r="D179" s="2">
        <f>VLOOKUP(B179,[1]lantai9!$B:$G,6,FALSE)</f>
        <v>15000</v>
      </c>
      <c r="E179" s="2">
        <f>VLOOKUP(B179,karyawan!B:D,3,FALSE)</f>
        <v>13807</v>
      </c>
      <c r="F179" s="2" t="str">
        <f>VLOOKUP(B179,karyawan!B:E,4,FALSE)</f>
        <v>Compliance</v>
      </c>
      <c r="G179" s="3">
        <v>10</v>
      </c>
      <c r="H179" s="3"/>
      <c r="I179" s="4">
        <v>0</v>
      </c>
      <c r="J179" s="5">
        <f t="shared" si="6"/>
        <v>10</v>
      </c>
      <c r="K179" s="4">
        <v>0</v>
      </c>
      <c r="L179" s="4">
        <v>1</v>
      </c>
      <c r="M179" s="4">
        <v>0</v>
      </c>
      <c r="N179" s="4">
        <f t="shared" si="7"/>
        <v>0</v>
      </c>
      <c r="O179" s="65">
        <f t="shared" si="8"/>
        <v>0</v>
      </c>
    </row>
    <row r="180" spans="1:15" ht="14.4" x14ac:dyDescent="0.3">
      <c r="A180" s="6">
        <v>46148</v>
      </c>
      <c r="B180" s="49" t="s">
        <v>10</v>
      </c>
      <c r="C180" s="4">
        <v>8</v>
      </c>
      <c r="D180" s="2">
        <f>VLOOKUP(B180,[1]lantai9!$B:$G,6,FALSE)</f>
        <v>23000</v>
      </c>
      <c r="E180" s="2">
        <f>VLOOKUP(B180,karyawan!B:D,3,FALSE)</f>
        <v>21760</v>
      </c>
      <c r="F180" s="2" t="str">
        <f>VLOOKUP(B180,karyawan!B:E,4,FALSE)</f>
        <v>Compliance</v>
      </c>
      <c r="G180" s="3">
        <v>7</v>
      </c>
      <c r="H180" s="3"/>
      <c r="I180" s="4">
        <v>5</v>
      </c>
      <c r="J180" s="5">
        <f t="shared" si="6"/>
        <v>2</v>
      </c>
      <c r="K180" s="4">
        <v>0</v>
      </c>
      <c r="L180" s="4">
        <v>6</v>
      </c>
      <c r="M180" s="4">
        <v>5</v>
      </c>
      <c r="N180" s="4">
        <f t="shared" si="7"/>
        <v>0</v>
      </c>
      <c r="O180" s="65">
        <f t="shared" si="8"/>
        <v>0</v>
      </c>
    </row>
    <row r="181" spans="1:15" ht="14.4" x14ac:dyDescent="0.3">
      <c r="A181" s="6">
        <v>46148</v>
      </c>
      <c r="B181" s="49" t="s">
        <v>23</v>
      </c>
      <c r="C181" s="4">
        <v>8</v>
      </c>
      <c r="D181" s="2">
        <f>VLOOKUP(B181,[1]lantai9!$B:$G,6,FALSE)</f>
        <v>11000</v>
      </c>
      <c r="E181" s="2">
        <f>VLOOKUP(B181,karyawan!B:D,3,FALSE)</f>
        <v>10000</v>
      </c>
      <c r="F181" s="2" t="str">
        <f>VLOOKUP(B181,karyawan!B:E,4,FALSE)</f>
        <v>Compliance</v>
      </c>
      <c r="G181" s="3">
        <v>8</v>
      </c>
      <c r="H181" s="3"/>
      <c r="I181" s="4">
        <v>6</v>
      </c>
      <c r="J181" s="5">
        <f t="shared" si="6"/>
        <v>3</v>
      </c>
      <c r="K181" s="4">
        <v>0</v>
      </c>
      <c r="L181" s="4">
        <v>5</v>
      </c>
      <c r="M181" s="4">
        <v>5</v>
      </c>
      <c r="N181" s="4">
        <f t="shared" si="7"/>
        <v>1</v>
      </c>
      <c r="O181" s="65">
        <f t="shared" si="8"/>
        <v>11000</v>
      </c>
    </row>
    <row r="182" spans="1:15" ht="14.4" x14ac:dyDescent="0.3">
      <c r="A182" s="6">
        <v>46148</v>
      </c>
      <c r="B182" s="49" t="s">
        <v>24</v>
      </c>
      <c r="C182" s="4">
        <v>8</v>
      </c>
      <c r="D182" s="2">
        <f>VLOOKUP(B182,[1]lantai9!$B:$G,6,FALSE)</f>
        <v>14500</v>
      </c>
      <c r="E182" s="2">
        <f>VLOOKUP(B182,karyawan!B:D,3,FALSE)</f>
        <v>13500</v>
      </c>
      <c r="F182" s="2" t="str">
        <f>VLOOKUP(B182,karyawan!B:E,4,FALSE)</f>
        <v>Compliance</v>
      </c>
      <c r="G182" s="3">
        <v>6</v>
      </c>
      <c r="H182" s="3"/>
      <c r="I182" s="4">
        <v>5</v>
      </c>
      <c r="J182" s="5">
        <f t="shared" si="6"/>
        <v>6</v>
      </c>
      <c r="K182" s="4">
        <v>0</v>
      </c>
      <c r="L182" s="4">
        <v>0</v>
      </c>
      <c r="M182" s="4">
        <v>0</v>
      </c>
      <c r="N182" s="4">
        <f t="shared" si="7"/>
        <v>5</v>
      </c>
      <c r="O182" s="65">
        <f t="shared" si="8"/>
        <v>72500</v>
      </c>
    </row>
    <row r="183" spans="1:15" ht="14.4" x14ac:dyDescent="0.3">
      <c r="A183" s="6">
        <v>46148</v>
      </c>
      <c r="B183" s="49" t="s">
        <v>15</v>
      </c>
      <c r="C183" s="4">
        <v>8</v>
      </c>
      <c r="D183" s="2">
        <f>VLOOKUP(B183,[1]lantai9!$B:$G,6,FALSE)</f>
        <v>3500</v>
      </c>
      <c r="E183" s="2">
        <f>VLOOKUP(B183,karyawan!B:D,3,FALSE)</f>
        <v>2500</v>
      </c>
      <c r="F183" s="2" t="str">
        <f>VLOOKUP(B183,karyawan!B:E,4,FALSE)</f>
        <v>Compliance</v>
      </c>
      <c r="G183" s="3">
        <v>20</v>
      </c>
      <c r="H183" s="3"/>
      <c r="I183" s="4">
        <v>0</v>
      </c>
      <c r="J183" s="5">
        <f t="shared" si="6"/>
        <v>20</v>
      </c>
      <c r="K183" s="4">
        <v>0</v>
      </c>
      <c r="L183" s="4">
        <v>0</v>
      </c>
      <c r="M183" s="4">
        <v>0</v>
      </c>
      <c r="N183" s="4">
        <f t="shared" si="7"/>
        <v>0</v>
      </c>
      <c r="O183" s="65">
        <f t="shared" si="8"/>
        <v>0</v>
      </c>
    </row>
    <row r="184" spans="1:15" ht="14.4" x14ac:dyDescent="0.3">
      <c r="A184" s="6">
        <v>46148</v>
      </c>
      <c r="B184" s="49" t="s">
        <v>4</v>
      </c>
      <c r="C184" s="4">
        <v>9</v>
      </c>
      <c r="D184" s="2">
        <f>VLOOKUP(B184,[1]lantai9!$B:$G,6,FALSE)</f>
        <v>35000</v>
      </c>
      <c r="E184" s="2">
        <f>VLOOKUP(B184,karyawan!B:D,3,FALSE)</f>
        <v>34000</v>
      </c>
      <c r="F184" s="2" t="str">
        <f>VLOOKUP(B184,karyawan!B:E,4,FALSE)</f>
        <v>Florida</v>
      </c>
      <c r="G184" s="3">
        <v>5</v>
      </c>
      <c r="H184" s="3"/>
      <c r="I184" s="4">
        <v>0</v>
      </c>
      <c r="J184" s="5">
        <f t="shared" si="6"/>
        <v>5</v>
      </c>
      <c r="K184" s="4">
        <v>0</v>
      </c>
      <c r="L184" s="4">
        <v>0</v>
      </c>
      <c r="M184" s="4">
        <v>0</v>
      </c>
      <c r="N184" s="4">
        <f t="shared" si="7"/>
        <v>0</v>
      </c>
      <c r="O184" s="65">
        <f t="shared" si="8"/>
        <v>0</v>
      </c>
    </row>
    <row r="185" spans="1:15" ht="14.4" x14ac:dyDescent="0.3">
      <c r="A185" s="6">
        <v>46148</v>
      </c>
      <c r="B185" s="49" t="s">
        <v>13</v>
      </c>
      <c r="C185" s="4">
        <v>9</v>
      </c>
      <c r="D185" s="2">
        <f>VLOOKUP(B185,[1]lantai9!$B:$G,6,FALSE)</f>
        <v>23000</v>
      </c>
      <c r="E185" s="2">
        <f>VLOOKUP(B185,karyawan!B:D,3,FALSE)</f>
        <v>22000</v>
      </c>
      <c r="F185" s="2" t="str">
        <f>VLOOKUP(B185,karyawan!B:E,4,FALSE)</f>
        <v>Yohannes</v>
      </c>
      <c r="G185" s="3">
        <v>6</v>
      </c>
      <c r="H185" s="3"/>
      <c r="I185" s="3">
        <v>7</v>
      </c>
      <c r="J185" s="5">
        <f t="shared" si="6"/>
        <v>4</v>
      </c>
      <c r="K185" s="41">
        <v>0</v>
      </c>
      <c r="L185" s="3">
        <v>6</v>
      </c>
      <c r="M185" s="3">
        <v>2</v>
      </c>
      <c r="N185" s="4">
        <f t="shared" si="7"/>
        <v>5</v>
      </c>
      <c r="O185" s="65">
        <f t="shared" si="8"/>
        <v>115000</v>
      </c>
    </row>
    <row r="186" spans="1:15" ht="14.4" x14ac:dyDescent="0.3">
      <c r="A186" s="6">
        <v>46148</v>
      </c>
      <c r="B186" s="49" t="s">
        <v>12</v>
      </c>
      <c r="C186" s="4">
        <v>9</v>
      </c>
      <c r="D186" s="2">
        <f>VLOOKUP(B186,[1]lantai9!$B:$G,6,FALSE)</f>
        <v>21000</v>
      </c>
      <c r="E186" s="2">
        <f>VLOOKUP(B186,karyawan!B:D,3,FALSE)</f>
        <v>20000</v>
      </c>
      <c r="F186" s="2" t="str">
        <f>VLOOKUP(B186,karyawan!B:E,4,FALSE)</f>
        <v>Damaz</v>
      </c>
      <c r="G186" s="3">
        <v>2</v>
      </c>
      <c r="H186" s="3"/>
      <c r="I186" s="4">
        <v>2</v>
      </c>
      <c r="J186" s="5">
        <f t="shared" si="6"/>
        <v>2</v>
      </c>
      <c r="K186" s="4">
        <v>0</v>
      </c>
      <c r="L186" s="4">
        <v>0</v>
      </c>
      <c r="M186" s="4">
        <v>0</v>
      </c>
      <c r="N186" s="4">
        <f t="shared" si="7"/>
        <v>2</v>
      </c>
      <c r="O186" s="65">
        <f t="shared" si="8"/>
        <v>42000</v>
      </c>
    </row>
    <row r="187" spans="1:15" ht="14.4" x14ac:dyDescent="0.3">
      <c r="A187" s="6">
        <v>46148</v>
      </c>
      <c r="B187" s="49" t="s">
        <v>11</v>
      </c>
      <c r="C187" s="4">
        <v>9</v>
      </c>
      <c r="D187" s="2">
        <f>VLOOKUP(B187,[1]lantai9!$B:$G,6,FALSE)</f>
        <v>36000</v>
      </c>
      <c r="E187" s="2">
        <f>VLOOKUP(B187,karyawan!B:D,3,FALSE)</f>
        <v>35000</v>
      </c>
      <c r="F187" s="2" t="str">
        <f>VLOOKUP(B187,karyawan!B:E,4,FALSE)</f>
        <v>Damaz</v>
      </c>
      <c r="G187" s="3">
        <v>3</v>
      </c>
      <c r="H187" s="3"/>
      <c r="I187" s="4">
        <v>0</v>
      </c>
      <c r="J187" s="5">
        <f t="shared" si="6"/>
        <v>3</v>
      </c>
      <c r="K187" s="4">
        <v>0</v>
      </c>
      <c r="L187" s="4">
        <v>0</v>
      </c>
      <c r="M187" s="4">
        <v>0</v>
      </c>
      <c r="N187" s="4">
        <f t="shared" si="7"/>
        <v>0</v>
      </c>
      <c r="O187" s="65">
        <f t="shared" si="8"/>
        <v>0</v>
      </c>
    </row>
    <row r="188" spans="1:15" ht="14.4" x14ac:dyDescent="0.3">
      <c r="A188" s="6">
        <v>46148</v>
      </c>
      <c r="B188" s="49" t="s">
        <v>14</v>
      </c>
      <c r="C188" s="4">
        <v>9</v>
      </c>
      <c r="D188" s="2">
        <f>VLOOKUP(B188,[1]lantai9!$B:$G,6,FALSE)</f>
        <v>23000</v>
      </c>
      <c r="E188" s="2">
        <f>VLOOKUP(B188,karyawan!B:D,3,FALSE)</f>
        <v>22000</v>
      </c>
      <c r="F188" s="2" t="str">
        <f>VLOOKUP(B188,karyawan!B:E,4,FALSE)</f>
        <v>Vale</v>
      </c>
      <c r="G188" s="3">
        <v>5</v>
      </c>
      <c r="H188" s="3"/>
      <c r="I188" s="4">
        <v>0</v>
      </c>
      <c r="J188" s="5">
        <f t="shared" si="6"/>
        <v>5</v>
      </c>
      <c r="K188" s="4">
        <v>0</v>
      </c>
      <c r="L188" s="4">
        <v>0</v>
      </c>
      <c r="M188" s="4">
        <v>0</v>
      </c>
      <c r="N188" s="4">
        <f t="shared" si="7"/>
        <v>0</v>
      </c>
      <c r="O188" s="65">
        <f t="shared" si="8"/>
        <v>0</v>
      </c>
    </row>
    <row r="189" spans="1:15" ht="14.4" x14ac:dyDescent="0.3">
      <c r="A189" s="6">
        <v>46148</v>
      </c>
      <c r="B189" s="49" t="s">
        <v>7</v>
      </c>
      <c r="C189" s="4">
        <v>9</v>
      </c>
      <c r="D189" s="2">
        <f>VLOOKUP(B189,[1]lantai9!$B:$G,6,FALSE)</f>
        <v>15000</v>
      </c>
      <c r="E189" s="2">
        <f>VLOOKUP(B189,karyawan!B:D,3,FALSE)</f>
        <v>14000</v>
      </c>
      <c r="F189" s="2" t="str">
        <f>VLOOKUP(B189,karyawan!B:E,4,FALSE)</f>
        <v>Desy</v>
      </c>
      <c r="G189" s="3">
        <v>6</v>
      </c>
      <c r="H189" s="3"/>
      <c r="I189" s="4">
        <v>4</v>
      </c>
      <c r="J189" s="5">
        <f t="shared" si="6"/>
        <v>6</v>
      </c>
      <c r="K189" s="4">
        <v>0</v>
      </c>
      <c r="L189" s="3">
        <v>1</v>
      </c>
      <c r="M189" s="3">
        <v>0</v>
      </c>
      <c r="N189" s="4">
        <f t="shared" si="7"/>
        <v>4</v>
      </c>
      <c r="O189" s="65">
        <f t="shared" si="8"/>
        <v>60000</v>
      </c>
    </row>
    <row r="190" spans="1:15" ht="14.4" x14ac:dyDescent="0.3">
      <c r="A190" s="6">
        <v>46148</v>
      </c>
      <c r="B190" s="49" t="s">
        <v>16</v>
      </c>
      <c r="C190" s="4">
        <v>9</v>
      </c>
      <c r="D190" s="2">
        <f>VLOOKUP(B190,[1]lantai9!$B:$G,6,FALSE)</f>
        <v>18000</v>
      </c>
      <c r="E190" s="2">
        <f>VLOOKUP(B190,karyawan!B:D,3,FALSE)</f>
        <v>17000</v>
      </c>
      <c r="F190" s="2" t="str">
        <f>VLOOKUP(B190,karyawan!B:E,4,FALSE)</f>
        <v>Geby</v>
      </c>
      <c r="G190" s="3">
        <v>6</v>
      </c>
      <c r="H190" s="3"/>
      <c r="I190" s="4">
        <v>1</v>
      </c>
      <c r="J190" s="5">
        <f t="shared" si="6"/>
        <v>6</v>
      </c>
      <c r="K190" s="4">
        <v>0</v>
      </c>
      <c r="L190" s="4">
        <v>0</v>
      </c>
      <c r="M190" s="4">
        <v>0</v>
      </c>
      <c r="N190" s="4">
        <f t="shared" si="7"/>
        <v>1</v>
      </c>
      <c r="O190" s="65">
        <f t="shared" si="8"/>
        <v>18000</v>
      </c>
    </row>
    <row r="191" spans="1:15" ht="14.4" x14ac:dyDescent="0.3">
      <c r="A191" s="6">
        <v>46148</v>
      </c>
      <c r="B191" s="49" t="s">
        <v>6</v>
      </c>
      <c r="C191" s="4">
        <v>9</v>
      </c>
      <c r="D191" s="2">
        <f>VLOOKUP(B191,[1]lantai9!$B:$G,6,FALSE)</f>
        <v>21000</v>
      </c>
      <c r="E191" s="2">
        <f>VLOOKUP(B191,karyawan!B:D,3,FALSE)</f>
        <v>20000</v>
      </c>
      <c r="F191" s="2" t="str">
        <f>VLOOKUP(B191,karyawan!B:E,4,FALSE)</f>
        <v>Geby</v>
      </c>
      <c r="G191" s="3">
        <v>2</v>
      </c>
      <c r="H191" s="3"/>
      <c r="I191" s="4">
        <v>0</v>
      </c>
      <c r="J191" s="5">
        <f t="shared" si="6"/>
        <v>2</v>
      </c>
      <c r="K191" s="4">
        <v>0</v>
      </c>
      <c r="L191" s="4">
        <v>0</v>
      </c>
      <c r="M191" s="4">
        <v>0</v>
      </c>
      <c r="N191" s="4">
        <f t="shared" si="7"/>
        <v>0</v>
      </c>
      <c r="O191" s="65">
        <f t="shared" si="8"/>
        <v>0</v>
      </c>
    </row>
    <row r="192" spans="1:15" ht="14.4" x14ac:dyDescent="0.3">
      <c r="A192" s="6">
        <v>46148</v>
      </c>
      <c r="B192" s="49" t="s">
        <v>20</v>
      </c>
      <c r="C192" s="4">
        <v>9</v>
      </c>
      <c r="D192" s="2">
        <f>VLOOKUP(B192,[1]lantai9!$B:$G,6,FALSE)</f>
        <v>35000</v>
      </c>
      <c r="E192" s="2">
        <f>VLOOKUP(B192,karyawan!B:D,3,FALSE)</f>
        <v>34000</v>
      </c>
      <c r="F192" s="2" t="str">
        <f>VLOOKUP(B192,karyawan!B:E,4,FALSE)</f>
        <v>Sherly</v>
      </c>
      <c r="G192" s="3">
        <v>2</v>
      </c>
      <c r="H192" s="3"/>
      <c r="I192" s="4">
        <v>2</v>
      </c>
      <c r="J192" s="5">
        <f t="shared" si="6"/>
        <v>1</v>
      </c>
      <c r="K192" s="4">
        <v>0</v>
      </c>
      <c r="L192" s="4">
        <v>1</v>
      </c>
      <c r="M192" s="4">
        <v>1</v>
      </c>
      <c r="N192" s="4">
        <f t="shared" si="7"/>
        <v>1</v>
      </c>
      <c r="O192" s="65">
        <f t="shared" si="8"/>
        <v>35000</v>
      </c>
    </row>
    <row r="193" spans="1:15" ht="14.4" x14ac:dyDescent="0.3">
      <c r="A193" s="6">
        <v>46148</v>
      </c>
      <c r="B193" s="49" t="s">
        <v>21</v>
      </c>
      <c r="C193" s="4">
        <v>9</v>
      </c>
      <c r="D193" s="2">
        <f>VLOOKUP(B193,[1]lantai9!$B:$G,6,FALSE)</f>
        <v>40000</v>
      </c>
      <c r="E193" s="2">
        <f>VLOOKUP(B193,karyawan!B:D,3,FALSE)</f>
        <v>39000</v>
      </c>
      <c r="F193" s="2" t="str">
        <f>VLOOKUP(B193,karyawan!B:E,4,FALSE)</f>
        <v>Sherly</v>
      </c>
      <c r="G193" s="3">
        <v>4</v>
      </c>
      <c r="H193" s="3"/>
      <c r="I193" s="3">
        <v>3</v>
      </c>
      <c r="J193" s="5">
        <f t="shared" si="6"/>
        <v>1</v>
      </c>
      <c r="K193" s="41">
        <v>0</v>
      </c>
      <c r="L193" s="4">
        <v>3</v>
      </c>
      <c r="M193" s="4">
        <v>3</v>
      </c>
      <c r="N193" s="4">
        <f t="shared" si="7"/>
        <v>0</v>
      </c>
      <c r="O193" s="65">
        <f t="shared" si="8"/>
        <v>0</v>
      </c>
    </row>
    <row r="194" spans="1:15" ht="14.4" x14ac:dyDescent="0.3">
      <c r="A194" s="6">
        <v>46148</v>
      </c>
      <c r="B194" s="49" t="s">
        <v>19</v>
      </c>
      <c r="C194" s="4">
        <v>9</v>
      </c>
      <c r="D194" s="2">
        <f>VLOOKUP(B194,[1]lantai9!$B:$G,6,FALSE)</f>
        <v>2500</v>
      </c>
      <c r="E194" s="2">
        <f>VLOOKUP(B194,karyawan!B:D,3,FALSE)</f>
        <v>1480</v>
      </c>
      <c r="F194" s="2" t="str">
        <f>VLOOKUP(B194,karyawan!B:E,4,FALSE)</f>
        <v>Compliance</v>
      </c>
      <c r="G194" s="3">
        <v>12</v>
      </c>
      <c r="H194" s="3"/>
      <c r="I194" s="4">
        <v>8</v>
      </c>
      <c r="J194" s="5">
        <f t="shared" ref="J194:J257" si="9">IF($G194-$M194&lt;0,0,$G194-$M194)</f>
        <v>12</v>
      </c>
      <c r="K194" s="4">
        <v>0</v>
      </c>
      <c r="L194" s="4">
        <v>1</v>
      </c>
      <c r="M194" s="4">
        <v>0</v>
      </c>
      <c r="N194" s="4">
        <f t="shared" ref="N194:N257" si="10">MAX($I194-$M194,0)</f>
        <v>8</v>
      </c>
      <c r="O194" s="65">
        <f t="shared" ref="O194:O257" si="11">N194*D194</f>
        <v>20000</v>
      </c>
    </row>
    <row r="195" spans="1:15" ht="14.4" x14ac:dyDescent="0.3">
      <c r="A195" s="6">
        <v>46148</v>
      </c>
      <c r="B195" s="49" t="s">
        <v>17</v>
      </c>
      <c r="C195" s="4">
        <v>9</v>
      </c>
      <c r="D195" s="2">
        <f>VLOOKUP(B195,[1]lantai9!$B:$G,6,FALSE)</f>
        <v>2000</v>
      </c>
      <c r="E195" s="2">
        <f>VLOOKUP(B195,karyawan!B:D,3,FALSE)</f>
        <v>1074</v>
      </c>
      <c r="F195" s="2" t="str">
        <f>VLOOKUP(B195,karyawan!B:E,4,FALSE)</f>
        <v>Compliance</v>
      </c>
      <c r="G195" s="3">
        <v>10</v>
      </c>
      <c r="H195" s="3"/>
      <c r="I195" s="4">
        <v>0</v>
      </c>
      <c r="J195" s="5">
        <f t="shared" si="9"/>
        <v>10</v>
      </c>
      <c r="K195" s="4">
        <v>0</v>
      </c>
      <c r="L195" s="4">
        <v>0</v>
      </c>
      <c r="M195" s="4">
        <v>0</v>
      </c>
      <c r="N195" s="4">
        <f t="shared" si="10"/>
        <v>0</v>
      </c>
      <c r="O195" s="65">
        <f t="shared" si="11"/>
        <v>0</v>
      </c>
    </row>
    <row r="196" spans="1:15" ht="14.4" x14ac:dyDescent="0.3">
      <c r="A196" s="6">
        <v>46148</v>
      </c>
      <c r="B196" s="49" t="s">
        <v>5</v>
      </c>
      <c r="C196" s="4">
        <v>9</v>
      </c>
      <c r="D196" s="2">
        <f>VLOOKUP(B196,[1]lantai9!$B:$G,6,FALSE)</f>
        <v>2500</v>
      </c>
      <c r="E196" s="2">
        <f>VLOOKUP(B196,karyawan!B:D,3,FALSE)</f>
        <v>1465</v>
      </c>
      <c r="F196" s="2" t="str">
        <f>VLOOKUP(B196,karyawan!B:E,4,FALSE)</f>
        <v>Compliance</v>
      </c>
      <c r="G196" s="3">
        <v>10</v>
      </c>
      <c r="H196" s="3"/>
      <c r="I196" s="4">
        <v>6</v>
      </c>
      <c r="J196" s="5">
        <f t="shared" si="9"/>
        <v>10</v>
      </c>
      <c r="K196" s="4">
        <v>0</v>
      </c>
      <c r="L196" s="3">
        <v>-1</v>
      </c>
      <c r="M196" s="3">
        <v>0</v>
      </c>
      <c r="N196" s="4">
        <f t="shared" si="10"/>
        <v>6</v>
      </c>
      <c r="O196" s="65">
        <f t="shared" si="11"/>
        <v>15000</v>
      </c>
    </row>
    <row r="197" spans="1:15" ht="14.4" x14ac:dyDescent="0.3">
      <c r="A197" s="6">
        <v>46148</v>
      </c>
      <c r="B197" s="49" t="s">
        <v>3</v>
      </c>
      <c r="C197" s="4">
        <v>9</v>
      </c>
      <c r="D197" s="2">
        <f>VLOOKUP(B197,[1]lantai9!$B:$G,6,FALSE)</f>
        <v>10000</v>
      </c>
      <c r="E197" s="2">
        <f>VLOOKUP(B197,karyawan!B:D,3,FALSE)</f>
        <v>9200</v>
      </c>
      <c r="F197" s="2" t="str">
        <f>VLOOKUP(B197,karyawan!B:E,4,FALSE)</f>
        <v>Compliance</v>
      </c>
      <c r="G197" s="3">
        <v>15</v>
      </c>
      <c r="H197" s="3"/>
      <c r="I197" s="4">
        <v>14</v>
      </c>
      <c r="J197" s="5">
        <f t="shared" si="9"/>
        <v>6</v>
      </c>
      <c r="K197" s="4">
        <v>0</v>
      </c>
      <c r="L197" s="4">
        <v>9</v>
      </c>
      <c r="M197" s="4">
        <v>9</v>
      </c>
      <c r="N197" s="4">
        <f t="shared" si="10"/>
        <v>5</v>
      </c>
      <c r="O197" s="65">
        <f t="shared" si="11"/>
        <v>50000</v>
      </c>
    </row>
    <row r="198" spans="1:15" ht="14.4" x14ac:dyDescent="0.3">
      <c r="A198" s="6">
        <v>46148</v>
      </c>
      <c r="B198" s="49" t="s">
        <v>18</v>
      </c>
      <c r="C198" s="4">
        <v>9</v>
      </c>
      <c r="D198" s="2">
        <f>VLOOKUP(B198,[1]lantai9!$B:$G,6,FALSE)</f>
        <v>15000</v>
      </c>
      <c r="E198" s="2">
        <f>VLOOKUP(B198,karyawan!B:D,3,FALSE)</f>
        <v>13807</v>
      </c>
      <c r="F198" s="2" t="str">
        <f>VLOOKUP(B198,karyawan!B:E,4,FALSE)</f>
        <v>Compliance</v>
      </c>
      <c r="G198" s="3">
        <v>10</v>
      </c>
      <c r="H198" s="3"/>
      <c r="I198" s="4">
        <v>0</v>
      </c>
      <c r="J198" s="5">
        <f t="shared" si="9"/>
        <v>10</v>
      </c>
      <c r="K198" s="4">
        <v>0</v>
      </c>
      <c r="L198" s="4">
        <v>0</v>
      </c>
      <c r="M198" s="4">
        <v>0</v>
      </c>
      <c r="N198" s="4">
        <f t="shared" si="10"/>
        <v>0</v>
      </c>
      <c r="O198" s="65">
        <f t="shared" si="11"/>
        <v>0</v>
      </c>
    </row>
    <row r="199" spans="1:15" ht="14.4" x14ac:dyDescent="0.3">
      <c r="A199" s="6">
        <v>46148</v>
      </c>
      <c r="B199" s="49" t="s">
        <v>10</v>
      </c>
      <c r="C199" s="4">
        <v>9</v>
      </c>
      <c r="D199" s="2">
        <f>VLOOKUP(B199,[1]lantai9!$B:$G,6,FALSE)</f>
        <v>23000</v>
      </c>
      <c r="E199" s="2">
        <f>VLOOKUP(B199,karyawan!B:D,3,FALSE)</f>
        <v>21760</v>
      </c>
      <c r="F199" s="2" t="str">
        <f>VLOOKUP(B199,karyawan!B:E,4,FALSE)</f>
        <v>Compliance</v>
      </c>
      <c r="G199" s="3">
        <v>7</v>
      </c>
      <c r="H199" s="3"/>
      <c r="I199" s="3">
        <v>6</v>
      </c>
      <c r="J199" s="5">
        <f t="shared" si="9"/>
        <v>4</v>
      </c>
      <c r="K199" s="41">
        <v>0</v>
      </c>
      <c r="L199" s="4">
        <v>3</v>
      </c>
      <c r="M199" s="4">
        <v>3</v>
      </c>
      <c r="N199" s="4">
        <f t="shared" si="10"/>
        <v>3</v>
      </c>
      <c r="O199" s="65">
        <f t="shared" si="11"/>
        <v>69000</v>
      </c>
    </row>
    <row r="200" spans="1:15" ht="14.4" x14ac:dyDescent="0.3">
      <c r="A200" s="6">
        <v>46148</v>
      </c>
      <c r="B200" s="49" t="s">
        <v>23</v>
      </c>
      <c r="C200" s="4">
        <v>9</v>
      </c>
      <c r="D200" s="2">
        <f>VLOOKUP(B200,[1]lantai9!$B:$G,6,FALSE)</f>
        <v>11000</v>
      </c>
      <c r="E200" s="2">
        <f>VLOOKUP(B200,karyawan!B:D,3,FALSE)</f>
        <v>10000</v>
      </c>
      <c r="F200" s="2" t="str">
        <f>VLOOKUP(B200,karyawan!B:E,4,FALSE)</f>
        <v>Compliance</v>
      </c>
      <c r="G200" s="3">
        <v>8</v>
      </c>
      <c r="H200" s="3"/>
      <c r="I200" s="4">
        <v>6</v>
      </c>
      <c r="J200" s="5">
        <f t="shared" si="9"/>
        <v>5</v>
      </c>
      <c r="K200" s="4">
        <v>0</v>
      </c>
      <c r="L200" s="4">
        <v>3</v>
      </c>
      <c r="M200" s="4">
        <v>3</v>
      </c>
      <c r="N200" s="4">
        <f t="shared" si="10"/>
        <v>3</v>
      </c>
      <c r="O200" s="65">
        <f t="shared" si="11"/>
        <v>33000</v>
      </c>
    </row>
    <row r="201" spans="1:15" ht="14.4" x14ac:dyDescent="0.3">
      <c r="A201" s="6">
        <v>46148</v>
      </c>
      <c r="B201" s="49" t="s">
        <v>24</v>
      </c>
      <c r="C201" s="4">
        <v>9</v>
      </c>
      <c r="D201" s="2">
        <f>VLOOKUP(B201,[1]lantai9!$B:$G,6,FALSE)</f>
        <v>14500</v>
      </c>
      <c r="E201" s="2">
        <f>VLOOKUP(B201,karyawan!B:D,3,FALSE)</f>
        <v>13500</v>
      </c>
      <c r="F201" s="2" t="str">
        <f>VLOOKUP(B201,karyawan!B:E,4,FALSE)</f>
        <v>Compliance</v>
      </c>
      <c r="G201" s="3">
        <v>6</v>
      </c>
      <c r="H201" s="3"/>
      <c r="I201" s="4">
        <v>5</v>
      </c>
      <c r="J201" s="5">
        <f t="shared" si="9"/>
        <v>6</v>
      </c>
      <c r="K201" s="4">
        <v>0</v>
      </c>
      <c r="L201" s="4">
        <v>0</v>
      </c>
      <c r="M201" s="4">
        <v>0</v>
      </c>
      <c r="N201" s="4">
        <f t="shared" si="10"/>
        <v>5</v>
      </c>
      <c r="O201" s="65">
        <f t="shared" si="11"/>
        <v>72500</v>
      </c>
    </row>
    <row r="202" spans="1:15" ht="14.4" x14ac:dyDescent="0.3">
      <c r="A202" s="6">
        <v>46148</v>
      </c>
      <c r="B202" s="49" t="s">
        <v>15</v>
      </c>
      <c r="C202" s="4">
        <v>9</v>
      </c>
      <c r="D202" s="2">
        <f>VLOOKUP(B202,[1]lantai9!$B:$G,6,FALSE)</f>
        <v>3500</v>
      </c>
      <c r="E202" s="2">
        <f>VLOOKUP(B202,karyawan!B:D,3,FALSE)</f>
        <v>2500</v>
      </c>
      <c r="F202" s="2" t="str">
        <f>VLOOKUP(B202,karyawan!B:E,4,FALSE)</f>
        <v>Compliance</v>
      </c>
      <c r="G202" s="3">
        <v>20</v>
      </c>
      <c r="H202" s="3"/>
      <c r="I202" s="3">
        <v>20</v>
      </c>
      <c r="J202" s="5">
        <f t="shared" si="9"/>
        <v>9</v>
      </c>
      <c r="K202" s="41">
        <v>0</v>
      </c>
      <c r="L202" s="4">
        <v>13</v>
      </c>
      <c r="M202" s="4">
        <v>11</v>
      </c>
      <c r="N202" s="4">
        <f t="shared" si="10"/>
        <v>9</v>
      </c>
      <c r="O202" s="65">
        <f t="shared" si="11"/>
        <v>31500</v>
      </c>
    </row>
    <row r="203" spans="1:15" ht="14.4" x14ac:dyDescent="0.3">
      <c r="A203" s="6">
        <v>46149</v>
      </c>
      <c r="B203" s="49" t="s">
        <v>4</v>
      </c>
      <c r="C203" s="4">
        <v>3</v>
      </c>
      <c r="D203" s="2">
        <f>VLOOKUP(B203,[1]lantai9!$B:$G,6,FALSE)</f>
        <v>35000</v>
      </c>
      <c r="E203" s="2">
        <f>VLOOKUP(B203,karyawan!B:D,3,FALSE)</f>
        <v>34000</v>
      </c>
      <c r="F203" s="2" t="str">
        <f>VLOOKUP(B203,karyawan!B:E,4,FALSE)</f>
        <v>Florida</v>
      </c>
      <c r="G203" s="3">
        <v>5</v>
      </c>
      <c r="H203" s="3"/>
      <c r="I203" s="4">
        <v>5</v>
      </c>
      <c r="J203" s="5">
        <f t="shared" si="9"/>
        <v>3</v>
      </c>
      <c r="K203" s="4">
        <v>0</v>
      </c>
      <c r="L203" s="4">
        <v>2</v>
      </c>
      <c r="M203" s="4">
        <v>2</v>
      </c>
      <c r="N203" s="4">
        <f t="shared" si="10"/>
        <v>3</v>
      </c>
      <c r="O203" s="65">
        <f t="shared" si="11"/>
        <v>105000</v>
      </c>
    </row>
    <row r="204" spans="1:15" ht="14.4" x14ac:dyDescent="0.3">
      <c r="A204" s="6">
        <v>46149</v>
      </c>
      <c r="B204" s="49" t="s">
        <v>13</v>
      </c>
      <c r="C204" s="4">
        <v>3</v>
      </c>
      <c r="D204" s="2">
        <f>VLOOKUP(B204,[1]lantai9!$B:$G,6,FALSE)</f>
        <v>23000</v>
      </c>
      <c r="E204" s="2">
        <f>VLOOKUP(B204,karyawan!B:D,3,FALSE)</f>
        <v>22000</v>
      </c>
      <c r="F204" s="2" t="str">
        <f>VLOOKUP(B204,karyawan!B:E,4,FALSE)</f>
        <v>Yohannes</v>
      </c>
      <c r="G204" s="3">
        <v>6</v>
      </c>
      <c r="H204" s="3"/>
      <c r="I204" s="4">
        <v>0</v>
      </c>
      <c r="J204" s="5">
        <f t="shared" si="9"/>
        <v>6</v>
      </c>
      <c r="K204" s="4">
        <v>0</v>
      </c>
      <c r="L204" s="4">
        <v>9</v>
      </c>
      <c r="M204" s="4">
        <v>0</v>
      </c>
      <c r="N204" s="4">
        <f t="shared" si="10"/>
        <v>0</v>
      </c>
      <c r="O204" s="65">
        <f t="shared" si="11"/>
        <v>0</v>
      </c>
    </row>
    <row r="205" spans="1:15" ht="14.4" x14ac:dyDescent="0.3">
      <c r="A205" s="6">
        <v>46149</v>
      </c>
      <c r="B205" s="49" t="s">
        <v>12</v>
      </c>
      <c r="C205" s="4">
        <v>3</v>
      </c>
      <c r="D205" s="2">
        <f>VLOOKUP(B205,[1]lantai9!$B:$G,6,FALSE)</f>
        <v>21000</v>
      </c>
      <c r="E205" s="2">
        <f>VLOOKUP(B205,karyawan!B:D,3,FALSE)</f>
        <v>20000</v>
      </c>
      <c r="F205" s="2" t="str">
        <f>VLOOKUP(B205,karyawan!B:E,4,FALSE)</f>
        <v>Damaz</v>
      </c>
      <c r="G205" s="3">
        <v>2</v>
      </c>
      <c r="H205" s="3"/>
      <c r="I205" s="4">
        <v>2</v>
      </c>
      <c r="J205" s="5">
        <f t="shared" si="9"/>
        <v>0</v>
      </c>
      <c r="K205" s="4">
        <v>0</v>
      </c>
      <c r="L205" s="4">
        <v>2</v>
      </c>
      <c r="M205" s="4">
        <v>2</v>
      </c>
      <c r="N205" s="4">
        <f t="shared" si="10"/>
        <v>0</v>
      </c>
      <c r="O205" s="65">
        <f t="shared" si="11"/>
        <v>0</v>
      </c>
    </row>
    <row r="206" spans="1:15" ht="14.4" x14ac:dyDescent="0.3">
      <c r="A206" s="6">
        <v>46149</v>
      </c>
      <c r="B206" s="49" t="s">
        <v>11</v>
      </c>
      <c r="C206" s="4">
        <v>3</v>
      </c>
      <c r="D206" s="2">
        <f>VLOOKUP(B206,[1]lantai9!$B:$G,6,FALSE)</f>
        <v>36000</v>
      </c>
      <c r="E206" s="2">
        <f>VLOOKUP(B206,karyawan!B:D,3,FALSE)</f>
        <v>35000</v>
      </c>
      <c r="F206" s="2" t="str">
        <f>VLOOKUP(B206,karyawan!B:E,4,FALSE)</f>
        <v>Damaz</v>
      </c>
      <c r="G206" s="3">
        <v>3</v>
      </c>
      <c r="H206" s="3"/>
      <c r="I206" s="4">
        <v>3</v>
      </c>
      <c r="J206" s="5">
        <f t="shared" si="9"/>
        <v>0</v>
      </c>
      <c r="K206" s="4">
        <v>0</v>
      </c>
      <c r="L206" s="4">
        <v>3</v>
      </c>
      <c r="M206" s="4">
        <v>3</v>
      </c>
      <c r="N206" s="4">
        <f t="shared" si="10"/>
        <v>0</v>
      </c>
      <c r="O206" s="65">
        <f t="shared" si="11"/>
        <v>0</v>
      </c>
    </row>
    <row r="207" spans="1:15" ht="14.4" x14ac:dyDescent="0.3">
      <c r="A207" s="6">
        <v>46149</v>
      </c>
      <c r="B207" s="49" t="s">
        <v>14</v>
      </c>
      <c r="C207" s="4">
        <v>3</v>
      </c>
      <c r="D207" s="2">
        <f>VLOOKUP(B207,[1]lantai9!$B:$G,6,FALSE)</f>
        <v>23000</v>
      </c>
      <c r="E207" s="2">
        <f>VLOOKUP(B207,karyawan!B:D,3,FALSE)</f>
        <v>22000</v>
      </c>
      <c r="F207" s="2" t="str">
        <f>VLOOKUP(B207,karyawan!B:E,4,FALSE)</f>
        <v>Vale</v>
      </c>
      <c r="G207" s="3">
        <v>5</v>
      </c>
      <c r="H207" s="3"/>
      <c r="I207" s="4">
        <v>0</v>
      </c>
      <c r="J207" s="5">
        <f t="shared" si="9"/>
        <v>5</v>
      </c>
      <c r="K207" s="4">
        <v>0</v>
      </c>
      <c r="L207" s="4">
        <v>0</v>
      </c>
      <c r="M207" s="4">
        <v>0</v>
      </c>
      <c r="N207" s="4">
        <f t="shared" si="10"/>
        <v>0</v>
      </c>
      <c r="O207" s="65">
        <f t="shared" si="11"/>
        <v>0</v>
      </c>
    </row>
    <row r="208" spans="1:15" ht="14.4" x14ac:dyDescent="0.3">
      <c r="A208" s="6">
        <v>46149</v>
      </c>
      <c r="B208" s="49" t="s">
        <v>7</v>
      </c>
      <c r="C208" s="4">
        <v>3</v>
      </c>
      <c r="D208" s="2">
        <f>VLOOKUP(B208,[1]lantai9!$B:$G,6,FALSE)</f>
        <v>15000</v>
      </c>
      <c r="E208" s="2">
        <f>VLOOKUP(B208,karyawan!B:D,3,FALSE)</f>
        <v>14000</v>
      </c>
      <c r="F208" s="2" t="str">
        <f>VLOOKUP(B208,karyawan!B:E,4,FALSE)</f>
        <v>Desy</v>
      </c>
      <c r="G208" s="3">
        <v>6</v>
      </c>
      <c r="H208" s="3"/>
      <c r="I208" s="3">
        <v>6</v>
      </c>
      <c r="J208" s="5">
        <f t="shared" si="9"/>
        <v>5</v>
      </c>
      <c r="K208" s="41">
        <v>0</v>
      </c>
      <c r="L208" s="4">
        <v>-1</v>
      </c>
      <c r="M208" s="4">
        <v>1</v>
      </c>
      <c r="N208" s="4">
        <f t="shared" si="10"/>
        <v>5</v>
      </c>
      <c r="O208" s="65">
        <f t="shared" si="11"/>
        <v>75000</v>
      </c>
    </row>
    <row r="209" spans="1:15" ht="14.4" x14ac:dyDescent="0.3">
      <c r="A209" s="6">
        <v>46149</v>
      </c>
      <c r="B209" s="49" t="s">
        <v>16</v>
      </c>
      <c r="C209" s="4">
        <v>3</v>
      </c>
      <c r="D209" s="2">
        <f>VLOOKUP(B209,[1]lantai9!$B:$G,6,FALSE)</f>
        <v>18000</v>
      </c>
      <c r="E209" s="2">
        <f>VLOOKUP(B209,karyawan!B:D,3,FALSE)</f>
        <v>17000</v>
      </c>
      <c r="F209" s="2" t="str">
        <f>VLOOKUP(B209,karyawan!B:E,4,FALSE)</f>
        <v>Geby</v>
      </c>
      <c r="G209" s="3">
        <v>6</v>
      </c>
      <c r="H209" s="3"/>
      <c r="I209" s="4">
        <v>0</v>
      </c>
      <c r="J209" s="5">
        <f t="shared" si="9"/>
        <v>6</v>
      </c>
      <c r="K209" s="4">
        <v>0</v>
      </c>
      <c r="L209" s="48"/>
      <c r="M209" s="48"/>
      <c r="N209" s="4">
        <f t="shared" si="10"/>
        <v>0</v>
      </c>
      <c r="O209" s="65">
        <f t="shared" si="11"/>
        <v>0</v>
      </c>
    </row>
    <row r="210" spans="1:15" ht="14.4" x14ac:dyDescent="0.3">
      <c r="A210" s="6">
        <v>46149</v>
      </c>
      <c r="B210" s="49" t="s">
        <v>6</v>
      </c>
      <c r="C210" s="4">
        <v>3</v>
      </c>
      <c r="D210" s="2">
        <f>VLOOKUP(B210,[1]lantai9!$B:$G,6,FALSE)</f>
        <v>21000</v>
      </c>
      <c r="E210" s="2">
        <f>VLOOKUP(B210,karyawan!B:D,3,FALSE)</f>
        <v>20000</v>
      </c>
      <c r="F210" s="2" t="str">
        <f>VLOOKUP(B210,karyawan!B:E,4,FALSE)</f>
        <v>Geby</v>
      </c>
      <c r="G210" s="3">
        <v>2</v>
      </c>
      <c r="H210" s="3"/>
      <c r="I210" s="4">
        <v>0</v>
      </c>
      <c r="J210" s="5">
        <f t="shared" si="9"/>
        <v>2</v>
      </c>
      <c r="K210" s="4">
        <v>0</v>
      </c>
      <c r="L210" s="48"/>
      <c r="M210" s="48"/>
      <c r="N210" s="4">
        <f t="shared" si="10"/>
        <v>0</v>
      </c>
      <c r="O210" s="65">
        <f t="shared" si="11"/>
        <v>0</v>
      </c>
    </row>
    <row r="211" spans="1:15" ht="14.4" x14ac:dyDescent="0.3">
      <c r="A211" s="6">
        <v>46149</v>
      </c>
      <c r="B211" s="49" t="s">
        <v>20</v>
      </c>
      <c r="C211" s="4">
        <v>3</v>
      </c>
      <c r="D211" s="2">
        <f>VLOOKUP(B211,[1]lantai9!$B:$G,6,FALSE)</f>
        <v>35000</v>
      </c>
      <c r="E211" s="2">
        <f>VLOOKUP(B211,karyawan!B:D,3,FALSE)</f>
        <v>34000</v>
      </c>
      <c r="F211" s="2" t="str">
        <f>VLOOKUP(B211,karyawan!B:E,4,FALSE)</f>
        <v>Sherly</v>
      </c>
      <c r="G211" s="3">
        <v>2</v>
      </c>
      <c r="H211" s="3"/>
      <c r="I211" s="4">
        <v>2</v>
      </c>
      <c r="J211" s="5">
        <f t="shared" si="9"/>
        <v>0</v>
      </c>
      <c r="K211" s="4">
        <v>0</v>
      </c>
      <c r="L211" s="4">
        <v>3</v>
      </c>
      <c r="M211" s="4">
        <v>2</v>
      </c>
      <c r="N211" s="4">
        <f t="shared" si="10"/>
        <v>0</v>
      </c>
      <c r="O211" s="65">
        <f t="shared" si="11"/>
        <v>0</v>
      </c>
    </row>
    <row r="212" spans="1:15" ht="14.4" x14ac:dyDescent="0.3">
      <c r="A212" s="6">
        <v>46149</v>
      </c>
      <c r="B212" s="49" t="s">
        <v>21</v>
      </c>
      <c r="C212" s="4">
        <v>3</v>
      </c>
      <c r="D212" s="2">
        <f>VLOOKUP(B212,[1]lantai9!$B:$G,6,FALSE)</f>
        <v>40000</v>
      </c>
      <c r="E212" s="2">
        <f>VLOOKUP(B212,karyawan!B:D,3,FALSE)</f>
        <v>39000</v>
      </c>
      <c r="F212" s="2" t="str">
        <f>VLOOKUP(B212,karyawan!B:E,4,FALSE)</f>
        <v>Sherly</v>
      </c>
      <c r="G212" s="3">
        <v>4</v>
      </c>
      <c r="H212" s="3"/>
      <c r="I212" s="4">
        <v>4</v>
      </c>
      <c r="J212" s="5">
        <f t="shared" si="9"/>
        <v>1</v>
      </c>
      <c r="K212" s="4">
        <v>0</v>
      </c>
      <c r="L212" s="4">
        <v>3</v>
      </c>
      <c r="M212" s="4">
        <v>3</v>
      </c>
      <c r="N212" s="4">
        <f t="shared" si="10"/>
        <v>1</v>
      </c>
      <c r="O212" s="65">
        <f t="shared" si="11"/>
        <v>40000</v>
      </c>
    </row>
    <row r="213" spans="1:15" ht="14.4" x14ac:dyDescent="0.3">
      <c r="A213" s="6">
        <v>46149</v>
      </c>
      <c r="B213" s="49" t="s">
        <v>19</v>
      </c>
      <c r="C213" s="4">
        <v>3</v>
      </c>
      <c r="D213" s="2">
        <f>VLOOKUP(B213,[1]lantai9!$B:$G,6,FALSE)</f>
        <v>2500</v>
      </c>
      <c r="E213" s="2">
        <f>VLOOKUP(B213,karyawan!B:D,3,FALSE)</f>
        <v>1480</v>
      </c>
      <c r="F213" s="2" t="str">
        <f>VLOOKUP(B213,karyawan!B:E,4,FALSE)</f>
        <v>Compliance</v>
      </c>
      <c r="G213" s="3">
        <v>12</v>
      </c>
      <c r="H213" s="3"/>
      <c r="I213" s="3">
        <v>3</v>
      </c>
      <c r="J213" s="5">
        <f t="shared" si="9"/>
        <v>9</v>
      </c>
      <c r="K213" s="41">
        <v>0</v>
      </c>
      <c r="L213" s="4">
        <v>3</v>
      </c>
      <c r="M213" s="4">
        <v>3</v>
      </c>
      <c r="N213" s="4">
        <f t="shared" si="10"/>
        <v>0</v>
      </c>
      <c r="O213" s="65">
        <f t="shared" si="11"/>
        <v>0</v>
      </c>
    </row>
    <row r="214" spans="1:15" ht="14.4" x14ac:dyDescent="0.3">
      <c r="A214" s="6">
        <v>46149</v>
      </c>
      <c r="B214" s="49" t="s">
        <v>17</v>
      </c>
      <c r="C214" s="4">
        <v>3</v>
      </c>
      <c r="D214" s="2">
        <f>VLOOKUP(B214,[1]lantai9!$B:$G,6,FALSE)</f>
        <v>2000</v>
      </c>
      <c r="E214" s="2">
        <f>VLOOKUP(B214,karyawan!B:D,3,FALSE)</f>
        <v>1074</v>
      </c>
      <c r="F214" s="2" t="str">
        <f>VLOOKUP(B214,karyawan!B:E,4,FALSE)</f>
        <v>Compliance</v>
      </c>
      <c r="G214" s="3">
        <v>10</v>
      </c>
      <c r="H214" s="3"/>
      <c r="I214" s="4">
        <v>6</v>
      </c>
      <c r="J214" s="5">
        <f t="shared" si="9"/>
        <v>10</v>
      </c>
      <c r="K214" s="4">
        <v>0</v>
      </c>
      <c r="L214" s="4">
        <v>10</v>
      </c>
      <c r="M214" s="4">
        <v>0</v>
      </c>
      <c r="N214" s="4">
        <f t="shared" si="10"/>
        <v>6</v>
      </c>
      <c r="O214" s="65">
        <f t="shared" si="11"/>
        <v>12000</v>
      </c>
    </row>
    <row r="215" spans="1:15" ht="14.4" x14ac:dyDescent="0.3">
      <c r="A215" s="6">
        <v>46149</v>
      </c>
      <c r="B215" s="49" t="s">
        <v>5</v>
      </c>
      <c r="C215" s="4">
        <v>3</v>
      </c>
      <c r="D215" s="2">
        <f>VLOOKUP(B215,[1]lantai9!$B:$G,6,FALSE)</f>
        <v>2500</v>
      </c>
      <c r="E215" s="2">
        <f>VLOOKUP(B215,karyawan!B:D,3,FALSE)</f>
        <v>1465</v>
      </c>
      <c r="F215" s="2" t="str">
        <f>VLOOKUP(B215,karyawan!B:E,4,FALSE)</f>
        <v>Compliance</v>
      </c>
      <c r="G215" s="3">
        <v>10</v>
      </c>
      <c r="H215" s="3"/>
      <c r="I215" s="4">
        <v>0</v>
      </c>
      <c r="J215" s="5">
        <f t="shared" si="9"/>
        <v>10</v>
      </c>
      <c r="K215" s="4">
        <v>0</v>
      </c>
      <c r="L215" s="4">
        <v>8</v>
      </c>
      <c r="M215" s="4">
        <v>0</v>
      </c>
      <c r="N215" s="4">
        <f t="shared" si="10"/>
        <v>0</v>
      </c>
      <c r="O215" s="65">
        <f t="shared" si="11"/>
        <v>0</v>
      </c>
    </row>
    <row r="216" spans="1:15" ht="14.4" x14ac:dyDescent="0.3">
      <c r="A216" s="6">
        <v>46149</v>
      </c>
      <c r="B216" s="49" t="s">
        <v>3</v>
      </c>
      <c r="C216" s="4">
        <v>3</v>
      </c>
      <c r="D216" s="2">
        <f>VLOOKUP(B216,[1]lantai9!$B:$G,6,FALSE)</f>
        <v>10000</v>
      </c>
      <c r="E216" s="2">
        <f>VLOOKUP(B216,karyawan!B:D,3,FALSE)</f>
        <v>9200</v>
      </c>
      <c r="F216" s="2" t="str">
        <f>VLOOKUP(B216,karyawan!B:E,4,FALSE)</f>
        <v>Compliance</v>
      </c>
      <c r="G216" s="3">
        <v>15</v>
      </c>
      <c r="H216" s="3"/>
      <c r="I216" s="4">
        <v>15</v>
      </c>
      <c r="J216" s="5">
        <f t="shared" si="9"/>
        <v>1</v>
      </c>
      <c r="K216" s="4">
        <v>0</v>
      </c>
      <c r="L216" s="4">
        <v>13</v>
      </c>
      <c r="M216" s="4">
        <v>14</v>
      </c>
      <c r="N216" s="4">
        <f t="shared" si="10"/>
        <v>1</v>
      </c>
      <c r="O216" s="65">
        <f t="shared" si="11"/>
        <v>10000</v>
      </c>
    </row>
    <row r="217" spans="1:15" ht="14.4" x14ac:dyDescent="0.3">
      <c r="A217" s="6">
        <v>46149</v>
      </c>
      <c r="B217" s="49" t="s">
        <v>18</v>
      </c>
      <c r="C217" s="4">
        <v>3</v>
      </c>
      <c r="D217" s="2">
        <f>VLOOKUP(B217,[1]lantai9!$B:$G,6,FALSE)</f>
        <v>15000</v>
      </c>
      <c r="E217" s="2">
        <f>VLOOKUP(B217,karyawan!B:D,3,FALSE)</f>
        <v>13807</v>
      </c>
      <c r="F217" s="2" t="str">
        <f>VLOOKUP(B217,karyawan!B:E,4,FALSE)</f>
        <v>Compliance</v>
      </c>
      <c r="G217" s="3">
        <v>10</v>
      </c>
      <c r="H217" s="3"/>
      <c r="I217" s="4">
        <v>0</v>
      </c>
      <c r="J217" s="5">
        <f t="shared" si="9"/>
        <v>10</v>
      </c>
      <c r="K217" s="4">
        <v>0</v>
      </c>
      <c r="L217" s="4">
        <v>4</v>
      </c>
      <c r="M217" s="4">
        <v>0</v>
      </c>
      <c r="N217" s="4">
        <f t="shared" si="10"/>
        <v>0</v>
      </c>
      <c r="O217" s="65">
        <f t="shared" si="11"/>
        <v>0</v>
      </c>
    </row>
    <row r="218" spans="1:15" ht="14.4" x14ac:dyDescent="0.3">
      <c r="A218" s="6">
        <v>46149</v>
      </c>
      <c r="B218" s="49" t="s">
        <v>10</v>
      </c>
      <c r="C218" s="4">
        <v>3</v>
      </c>
      <c r="D218" s="2">
        <f>VLOOKUP(B218,[1]lantai9!$B:$G,6,FALSE)</f>
        <v>23000</v>
      </c>
      <c r="E218" s="2">
        <f>VLOOKUP(B218,karyawan!B:D,3,FALSE)</f>
        <v>21760</v>
      </c>
      <c r="F218" s="2" t="str">
        <f>VLOOKUP(B218,karyawan!B:E,4,FALSE)</f>
        <v>Compliance</v>
      </c>
      <c r="G218" s="3">
        <v>7</v>
      </c>
      <c r="H218" s="3"/>
      <c r="I218" s="4">
        <v>7</v>
      </c>
      <c r="J218" s="5">
        <f t="shared" si="9"/>
        <v>0</v>
      </c>
      <c r="K218" s="4">
        <v>0</v>
      </c>
      <c r="L218" s="4">
        <v>8</v>
      </c>
      <c r="M218" s="4">
        <v>7</v>
      </c>
      <c r="N218" s="4">
        <f t="shared" si="10"/>
        <v>0</v>
      </c>
      <c r="O218" s="65">
        <f t="shared" si="11"/>
        <v>0</v>
      </c>
    </row>
    <row r="219" spans="1:15" ht="14.4" x14ac:dyDescent="0.3">
      <c r="A219" s="6">
        <v>46149</v>
      </c>
      <c r="B219" s="50" t="s">
        <v>23</v>
      </c>
      <c r="C219" s="4">
        <v>3</v>
      </c>
      <c r="D219" s="2">
        <f>VLOOKUP(B219,[1]lantai9!$B:$G,6,FALSE)</f>
        <v>11000</v>
      </c>
      <c r="E219" s="2">
        <f>VLOOKUP(B219,karyawan!B:D,3,FALSE)</f>
        <v>10000</v>
      </c>
      <c r="F219" s="2" t="str">
        <f>VLOOKUP(B219,karyawan!B:E,4,FALSE)</f>
        <v>Compliance</v>
      </c>
      <c r="G219" s="3">
        <v>8</v>
      </c>
      <c r="H219" s="3"/>
      <c r="I219" s="4">
        <v>2</v>
      </c>
      <c r="J219" s="5">
        <f t="shared" si="9"/>
        <v>7</v>
      </c>
      <c r="K219" s="4">
        <v>0</v>
      </c>
      <c r="L219" s="4">
        <v>2</v>
      </c>
      <c r="M219" s="3">
        <v>1</v>
      </c>
      <c r="N219" s="4">
        <f t="shared" si="10"/>
        <v>1</v>
      </c>
      <c r="O219" s="65">
        <f t="shared" si="11"/>
        <v>11000</v>
      </c>
    </row>
    <row r="220" spans="1:15" ht="14.4" x14ac:dyDescent="0.3">
      <c r="A220" s="6">
        <v>46149</v>
      </c>
      <c r="B220" s="50" t="s">
        <v>24</v>
      </c>
      <c r="C220" s="4">
        <v>3</v>
      </c>
      <c r="D220" s="2">
        <f>VLOOKUP(B220,[1]lantai9!$B:$G,6,FALSE)</f>
        <v>14500</v>
      </c>
      <c r="E220" s="2">
        <f>VLOOKUP(B220,karyawan!B:D,3,FALSE)</f>
        <v>13500</v>
      </c>
      <c r="F220" s="2" t="str">
        <f>VLOOKUP(B220,karyawan!B:E,4,FALSE)</f>
        <v>Compliance</v>
      </c>
      <c r="G220" s="3">
        <v>6</v>
      </c>
      <c r="H220" s="3"/>
      <c r="I220" s="4">
        <v>0</v>
      </c>
      <c r="J220" s="5">
        <f t="shared" si="9"/>
        <v>6</v>
      </c>
      <c r="K220" s="4">
        <v>0</v>
      </c>
      <c r="L220" s="4">
        <v>0</v>
      </c>
      <c r="M220" s="4">
        <v>0</v>
      </c>
      <c r="N220" s="4">
        <f t="shared" si="10"/>
        <v>0</v>
      </c>
      <c r="O220" s="65">
        <f t="shared" si="11"/>
        <v>0</v>
      </c>
    </row>
    <row r="221" spans="1:15" ht="14.4" x14ac:dyDescent="0.3">
      <c r="A221" s="6">
        <v>46149</v>
      </c>
      <c r="B221" s="50" t="s">
        <v>15</v>
      </c>
      <c r="C221" s="4">
        <v>3</v>
      </c>
      <c r="D221" s="2">
        <f>VLOOKUP(B221,[1]lantai9!$B:$G,6,FALSE)</f>
        <v>3500</v>
      </c>
      <c r="E221" s="2">
        <f>VLOOKUP(B221,karyawan!B:D,3,FALSE)</f>
        <v>2500</v>
      </c>
      <c r="F221" s="2" t="str">
        <f>VLOOKUP(B221,karyawan!B:E,4,FALSE)</f>
        <v>Compliance</v>
      </c>
      <c r="G221" s="3">
        <v>20</v>
      </c>
      <c r="H221" s="3"/>
      <c r="I221" s="3">
        <v>20</v>
      </c>
      <c r="J221" s="5">
        <f t="shared" si="9"/>
        <v>3</v>
      </c>
      <c r="K221" s="41">
        <v>0</v>
      </c>
      <c r="L221" s="4">
        <v>20</v>
      </c>
      <c r="M221" s="4">
        <v>17</v>
      </c>
      <c r="N221" s="4">
        <f t="shared" si="10"/>
        <v>3</v>
      </c>
      <c r="O221" s="65">
        <f t="shared" si="11"/>
        <v>10500</v>
      </c>
    </row>
    <row r="222" spans="1:15" ht="14.4" x14ac:dyDescent="0.3">
      <c r="A222" s="6">
        <v>46149</v>
      </c>
      <c r="B222" s="49" t="s">
        <v>4</v>
      </c>
      <c r="C222" s="4">
        <v>8</v>
      </c>
      <c r="D222" s="2">
        <f>VLOOKUP(B222,[1]lantai9!$B:$G,6,FALSE)</f>
        <v>35000</v>
      </c>
      <c r="E222" s="2">
        <f>VLOOKUP(B222,karyawan!B:D,3,FALSE)</f>
        <v>34000</v>
      </c>
      <c r="F222" s="2" t="str">
        <f>VLOOKUP(B222,karyawan!B:E,4,FALSE)</f>
        <v>Florida</v>
      </c>
      <c r="G222" s="3">
        <v>5</v>
      </c>
      <c r="H222" s="3"/>
      <c r="I222" s="4">
        <v>5</v>
      </c>
      <c r="J222" s="5">
        <f t="shared" si="9"/>
        <v>1</v>
      </c>
      <c r="K222" s="4">
        <v>0</v>
      </c>
      <c r="L222" s="4">
        <v>5</v>
      </c>
      <c r="M222" s="3">
        <v>4</v>
      </c>
      <c r="N222" s="4">
        <f t="shared" si="10"/>
        <v>1</v>
      </c>
      <c r="O222" s="65">
        <f t="shared" si="11"/>
        <v>35000</v>
      </c>
    </row>
    <row r="223" spans="1:15" ht="14.4" x14ac:dyDescent="0.3">
      <c r="A223" s="6">
        <v>46149</v>
      </c>
      <c r="B223" s="49" t="s">
        <v>13</v>
      </c>
      <c r="C223" s="4">
        <v>8</v>
      </c>
      <c r="D223" s="2">
        <f>VLOOKUP(B223,[1]lantai9!$B:$G,6,FALSE)</f>
        <v>23000</v>
      </c>
      <c r="E223" s="2">
        <f>VLOOKUP(B223,karyawan!B:D,3,FALSE)</f>
        <v>22000</v>
      </c>
      <c r="F223" s="2" t="str">
        <f>VLOOKUP(B223,karyawan!B:E,4,FALSE)</f>
        <v>Yohannes</v>
      </c>
      <c r="G223" s="3">
        <v>6</v>
      </c>
      <c r="H223" s="3"/>
      <c r="I223" s="4">
        <v>0</v>
      </c>
      <c r="J223" s="5">
        <f t="shared" si="9"/>
        <v>6</v>
      </c>
      <c r="K223" s="4">
        <v>0</v>
      </c>
      <c r="L223" s="4">
        <v>10</v>
      </c>
      <c r="M223" s="4">
        <v>0</v>
      </c>
      <c r="N223" s="4">
        <f t="shared" si="10"/>
        <v>0</v>
      </c>
      <c r="O223" s="65">
        <f t="shared" si="11"/>
        <v>0</v>
      </c>
    </row>
    <row r="224" spans="1:15" ht="14.4" x14ac:dyDescent="0.3">
      <c r="A224" s="6">
        <v>46149</v>
      </c>
      <c r="B224" s="49" t="s">
        <v>12</v>
      </c>
      <c r="C224" s="4">
        <v>8</v>
      </c>
      <c r="D224" s="2">
        <f>VLOOKUP(B224,[1]lantai9!$B:$G,6,FALSE)</f>
        <v>21000</v>
      </c>
      <c r="E224" s="2">
        <f>VLOOKUP(B224,karyawan!B:D,3,FALSE)</f>
        <v>20000</v>
      </c>
      <c r="F224" s="2" t="str">
        <f>VLOOKUP(B224,karyawan!B:E,4,FALSE)</f>
        <v>Damaz</v>
      </c>
      <c r="G224" s="3">
        <v>2</v>
      </c>
      <c r="H224" s="3"/>
      <c r="I224" s="4">
        <v>1</v>
      </c>
      <c r="J224" s="5">
        <f t="shared" si="9"/>
        <v>1</v>
      </c>
      <c r="K224" s="4">
        <v>0</v>
      </c>
      <c r="L224" s="4">
        <v>1</v>
      </c>
      <c r="M224" s="4">
        <v>1</v>
      </c>
      <c r="N224" s="4">
        <f t="shared" si="10"/>
        <v>0</v>
      </c>
      <c r="O224" s="65">
        <f t="shared" si="11"/>
        <v>0</v>
      </c>
    </row>
    <row r="225" spans="1:15" ht="14.4" x14ac:dyDescent="0.3">
      <c r="A225" s="6">
        <v>46149</v>
      </c>
      <c r="B225" s="49" t="s">
        <v>11</v>
      </c>
      <c r="C225" s="4">
        <v>8</v>
      </c>
      <c r="D225" s="2">
        <f>VLOOKUP(B225,[1]lantai9!$B:$G,6,FALSE)</f>
        <v>36000</v>
      </c>
      <c r="E225" s="2">
        <f>VLOOKUP(B225,karyawan!B:D,3,FALSE)</f>
        <v>35000</v>
      </c>
      <c r="F225" s="2" t="str">
        <f>VLOOKUP(B225,karyawan!B:E,4,FALSE)</f>
        <v>Damaz</v>
      </c>
      <c r="G225" s="3">
        <v>3</v>
      </c>
      <c r="H225" s="3"/>
      <c r="I225" s="4">
        <v>2</v>
      </c>
      <c r="J225" s="5">
        <f t="shared" si="9"/>
        <v>1</v>
      </c>
      <c r="K225" s="4">
        <v>0</v>
      </c>
      <c r="L225" s="4">
        <v>3</v>
      </c>
      <c r="M225" s="4">
        <v>2</v>
      </c>
      <c r="N225" s="4">
        <f t="shared" si="10"/>
        <v>0</v>
      </c>
      <c r="O225" s="65">
        <f t="shared" si="11"/>
        <v>0</v>
      </c>
    </row>
    <row r="226" spans="1:15" ht="14.4" x14ac:dyDescent="0.3">
      <c r="A226" s="6">
        <v>46149</v>
      </c>
      <c r="B226" s="49" t="s">
        <v>14</v>
      </c>
      <c r="C226" s="4">
        <v>8</v>
      </c>
      <c r="D226" s="2">
        <f>VLOOKUP(B226,[1]lantai9!$B:$G,6,FALSE)</f>
        <v>23000</v>
      </c>
      <c r="E226" s="2">
        <f>VLOOKUP(B226,karyawan!B:D,3,FALSE)</f>
        <v>22000</v>
      </c>
      <c r="F226" s="2" t="str">
        <f>VLOOKUP(B226,karyawan!B:E,4,FALSE)</f>
        <v>Vale</v>
      </c>
      <c r="G226" s="3">
        <v>5</v>
      </c>
      <c r="H226" s="3"/>
      <c r="I226" s="4">
        <v>0</v>
      </c>
      <c r="J226" s="5">
        <f t="shared" si="9"/>
        <v>5</v>
      </c>
      <c r="K226" s="4">
        <v>0</v>
      </c>
      <c r="L226" s="4">
        <v>1</v>
      </c>
      <c r="M226" s="4">
        <v>0</v>
      </c>
      <c r="N226" s="4">
        <f t="shared" si="10"/>
        <v>0</v>
      </c>
      <c r="O226" s="65">
        <f t="shared" si="11"/>
        <v>0</v>
      </c>
    </row>
    <row r="227" spans="1:15" ht="14.4" x14ac:dyDescent="0.3">
      <c r="A227" s="6">
        <v>46149</v>
      </c>
      <c r="B227" s="49" t="s">
        <v>7</v>
      </c>
      <c r="C227" s="4">
        <v>8</v>
      </c>
      <c r="D227" s="2">
        <f>VLOOKUP(B227,[1]lantai9!$B:$G,6,FALSE)</f>
        <v>15000</v>
      </c>
      <c r="E227" s="2">
        <f>VLOOKUP(B227,karyawan!B:D,3,FALSE)</f>
        <v>14000</v>
      </c>
      <c r="F227" s="2" t="str">
        <f>VLOOKUP(B227,karyawan!B:E,4,FALSE)</f>
        <v>Desy</v>
      </c>
      <c r="G227" s="3">
        <v>6</v>
      </c>
      <c r="H227" s="3"/>
      <c r="I227" s="3">
        <v>9</v>
      </c>
      <c r="J227" s="5">
        <f t="shared" si="9"/>
        <v>0</v>
      </c>
      <c r="K227" s="41">
        <v>0</v>
      </c>
      <c r="L227" s="4">
        <v>10</v>
      </c>
      <c r="M227" s="4">
        <v>8</v>
      </c>
      <c r="N227" s="4">
        <f t="shared" si="10"/>
        <v>1</v>
      </c>
      <c r="O227" s="65">
        <f t="shared" si="11"/>
        <v>15000</v>
      </c>
    </row>
    <row r="228" spans="1:15" ht="14.4" x14ac:dyDescent="0.3">
      <c r="A228" s="6">
        <v>46149</v>
      </c>
      <c r="B228" s="49" t="s">
        <v>16</v>
      </c>
      <c r="C228" s="4">
        <v>8</v>
      </c>
      <c r="D228" s="2">
        <f>VLOOKUP(B228,[1]lantai9!$B:$G,6,FALSE)</f>
        <v>18000</v>
      </c>
      <c r="E228" s="2">
        <f>VLOOKUP(B228,karyawan!B:D,3,FALSE)</f>
        <v>17000</v>
      </c>
      <c r="F228" s="2" t="str">
        <f>VLOOKUP(B228,karyawan!B:E,4,FALSE)</f>
        <v>Geby</v>
      </c>
      <c r="G228" s="3">
        <v>6</v>
      </c>
      <c r="H228" s="3"/>
      <c r="I228" s="4">
        <v>1</v>
      </c>
      <c r="J228" s="5">
        <f t="shared" si="9"/>
        <v>5</v>
      </c>
      <c r="K228" s="4">
        <v>0</v>
      </c>
      <c r="L228" s="48"/>
      <c r="M228" s="4">
        <v>1</v>
      </c>
      <c r="N228" s="4">
        <f t="shared" si="10"/>
        <v>0</v>
      </c>
      <c r="O228" s="65">
        <f t="shared" si="11"/>
        <v>0</v>
      </c>
    </row>
    <row r="229" spans="1:15" ht="14.4" x14ac:dyDescent="0.3">
      <c r="A229" s="6">
        <v>46149</v>
      </c>
      <c r="B229" s="49" t="s">
        <v>6</v>
      </c>
      <c r="C229" s="4">
        <v>8</v>
      </c>
      <c r="D229" s="2">
        <f>VLOOKUP(B229,[1]lantai9!$B:$G,6,FALSE)</f>
        <v>21000</v>
      </c>
      <c r="E229" s="2">
        <f>VLOOKUP(B229,karyawan!B:D,3,FALSE)</f>
        <v>20000</v>
      </c>
      <c r="F229" s="2" t="str">
        <f>VLOOKUP(B229,karyawan!B:E,4,FALSE)</f>
        <v>Geby</v>
      </c>
      <c r="G229" s="3">
        <v>2</v>
      </c>
      <c r="H229" s="3"/>
      <c r="I229" s="4">
        <v>0</v>
      </c>
      <c r="J229" s="5">
        <f t="shared" si="9"/>
        <v>2</v>
      </c>
      <c r="K229" s="4">
        <v>0</v>
      </c>
      <c r="L229" s="48"/>
      <c r="M229" s="4">
        <v>0</v>
      </c>
      <c r="N229" s="4">
        <f t="shared" si="10"/>
        <v>0</v>
      </c>
      <c r="O229" s="65">
        <f t="shared" si="11"/>
        <v>0</v>
      </c>
    </row>
    <row r="230" spans="1:15" ht="14.4" x14ac:dyDescent="0.3">
      <c r="A230" s="6">
        <v>46149</v>
      </c>
      <c r="B230" s="49" t="s">
        <v>20</v>
      </c>
      <c r="C230" s="4">
        <v>8</v>
      </c>
      <c r="D230" s="2">
        <f>VLOOKUP(B230,[1]lantai9!$B:$G,6,FALSE)</f>
        <v>35000</v>
      </c>
      <c r="E230" s="2">
        <f>VLOOKUP(B230,karyawan!B:D,3,FALSE)</f>
        <v>34000</v>
      </c>
      <c r="F230" s="2" t="str">
        <f>VLOOKUP(B230,karyawan!B:E,4,FALSE)</f>
        <v>Sherly</v>
      </c>
      <c r="G230" s="3">
        <v>2</v>
      </c>
      <c r="H230" s="3"/>
      <c r="I230" s="4">
        <v>2</v>
      </c>
      <c r="J230" s="5">
        <f t="shared" si="9"/>
        <v>0</v>
      </c>
      <c r="K230" s="4">
        <v>0</v>
      </c>
      <c r="L230" s="4">
        <v>2</v>
      </c>
      <c r="M230" s="4">
        <v>2</v>
      </c>
      <c r="N230" s="4">
        <f t="shared" si="10"/>
        <v>0</v>
      </c>
      <c r="O230" s="65">
        <f t="shared" si="11"/>
        <v>0</v>
      </c>
    </row>
    <row r="231" spans="1:15" ht="14.4" x14ac:dyDescent="0.3">
      <c r="A231" s="6">
        <v>46149</v>
      </c>
      <c r="B231" s="49" t="s">
        <v>21</v>
      </c>
      <c r="C231" s="4">
        <v>8</v>
      </c>
      <c r="D231" s="2">
        <f>VLOOKUP(B231,[1]lantai9!$B:$G,6,FALSE)</f>
        <v>40000</v>
      </c>
      <c r="E231" s="2">
        <f>VLOOKUP(B231,karyawan!B:D,3,FALSE)</f>
        <v>39000</v>
      </c>
      <c r="F231" s="2" t="str">
        <f>VLOOKUP(B231,karyawan!B:E,4,FALSE)</f>
        <v>Sherly</v>
      </c>
      <c r="G231" s="3">
        <v>4</v>
      </c>
      <c r="H231" s="3"/>
      <c r="I231" s="4">
        <v>4</v>
      </c>
      <c r="J231" s="5">
        <f t="shared" si="9"/>
        <v>2</v>
      </c>
      <c r="K231" s="4">
        <v>0</v>
      </c>
      <c r="L231" s="4">
        <v>3</v>
      </c>
      <c r="M231" s="4">
        <v>2</v>
      </c>
      <c r="N231" s="4">
        <f t="shared" si="10"/>
        <v>2</v>
      </c>
      <c r="O231" s="65">
        <f t="shared" si="11"/>
        <v>80000</v>
      </c>
    </row>
    <row r="232" spans="1:15" ht="14.4" x14ac:dyDescent="0.3">
      <c r="A232" s="6">
        <v>46149</v>
      </c>
      <c r="B232" s="49" t="s">
        <v>19</v>
      </c>
      <c r="C232" s="4">
        <v>8</v>
      </c>
      <c r="D232" s="2">
        <f>VLOOKUP(B232,[1]lantai9!$B:$G,6,FALSE)</f>
        <v>2500</v>
      </c>
      <c r="E232" s="2">
        <f>VLOOKUP(B232,karyawan!B:D,3,FALSE)</f>
        <v>1480</v>
      </c>
      <c r="F232" s="2" t="str">
        <f>VLOOKUP(B232,karyawan!B:E,4,FALSE)</f>
        <v>Compliance</v>
      </c>
      <c r="G232" s="3">
        <v>12</v>
      </c>
      <c r="H232" s="3"/>
      <c r="I232" s="3">
        <v>4</v>
      </c>
      <c r="J232" s="5">
        <f t="shared" si="9"/>
        <v>8</v>
      </c>
      <c r="K232" s="41">
        <v>0</v>
      </c>
      <c r="L232" s="4">
        <v>9</v>
      </c>
      <c r="M232" s="4">
        <v>4</v>
      </c>
      <c r="N232" s="4">
        <f t="shared" si="10"/>
        <v>0</v>
      </c>
      <c r="O232" s="65">
        <f t="shared" si="11"/>
        <v>0</v>
      </c>
    </row>
    <row r="233" spans="1:15" ht="14.4" x14ac:dyDescent="0.3">
      <c r="A233" s="6">
        <v>46149</v>
      </c>
      <c r="B233" s="49" t="s">
        <v>17</v>
      </c>
      <c r="C233" s="4">
        <v>8</v>
      </c>
      <c r="D233" s="2">
        <f>VLOOKUP(B233,[1]lantai9!$B:$G,6,FALSE)</f>
        <v>2000</v>
      </c>
      <c r="E233" s="2">
        <f>VLOOKUP(B233,karyawan!B:D,3,FALSE)</f>
        <v>1074</v>
      </c>
      <c r="F233" s="2" t="str">
        <f>VLOOKUP(B233,karyawan!B:E,4,FALSE)</f>
        <v>Compliance</v>
      </c>
      <c r="G233" s="3">
        <v>10</v>
      </c>
      <c r="H233" s="3"/>
      <c r="I233" s="4">
        <v>1</v>
      </c>
      <c r="J233" s="5">
        <f t="shared" si="9"/>
        <v>10</v>
      </c>
      <c r="K233" s="4">
        <v>0</v>
      </c>
      <c r="L233" s="4">
        <v>-6</v>
      </c>
      <c r="M233" s="4">
        <v>0</v>
      </c>
      <c r="N233" s="4">
        <f t="shared" si="10"/>
        <v>1</v>
      </c>
      <c r="O233" s="65">
        <f t="shared" si="11"/>
        <v>2000</v>
      </c>
    </row>
    <row r="234" spans="1:15" ht="14.4" x14ac:dyDescent="0.3">
      <c r="A234" s="6">
        <v>46149</v>
      </c>
      <c r="B234" s="49" t="s">
        <v>5</v>
      </c>
      <c r="C234" s="4">
        <v>8</v>
      </c>
      <c r="D234" s="2">
        <f>VLOOKUP(B234,[1]lantai9!$B:$G,6,FALSE)</f>
        <v>2500</v>
      </c>
      <c r="E234" s="2">
        <f>VLOOKUP(B234,karyawan!B:D,3,FALSE)</f>
        <v>1465</v>
      </c>
      <c r="F234" s="2" t="str">
        <f>VLOOKUP(B234,karyawan!B:E,4,FALSE)</f>
        <v>Compliance</v>
      </c>
      <c r="G234" s="3">
        <v>10</v>
      </c>
      <c r="H234" s="3"/>
      <c r="I234" s="4">
        <v>4</v>
      </c>
      <c r="J234" s="5">
        <f t="shared" si="9"/>
        <v>10</v>
      </c>
      <c r="K234" s="4">
        <v>0</v>
      </c>
      <c r="L234" s="4">
        <v>1</v>
      </c>
      <c r="M234" s="4">
        <v>0</v>
      </c>
      <c r="N234" s="4">
        <f t="shared" si="10"/>
        <v>4</v>
      </c>
      <c r="O234" s="65">
        <f t="shared" si="11"/>
        <v>10000</v>
      </c>
    </row>
    <row r="235" spans="1:15" ht="14.4" x14ac:dyDescent="0.3">
      <c r="A235" s="6">
        <v>46149</v>
      </c>
      <c r="B235" s="49" t="s">
        <v>3</v>
      </c>
      <c r="C235" s="4">
        <v>8</v>
      </c>
      <c r="D235" s="2">
        <f>VLOOKUP(B235,[1]lantai9!$B:$G,6,FALSE)</f>
        <v>10000</v>
      </c>
      <c r="E235" s="2">
        <f>VLOOKUP(B235,karyawan!B:D,3,FALSE)</f>
        <v>9200</v>
      </c>
      <c r="F235" s="2" t="str">
        <f>VLOOKUP(B235,karyawan!B:E,4,FALSE)</f>
        <v>Compliance</v>
      </c>
      <c r="G235" s="3">
        <v>15</v>
      </c>
      <c r="H235" s="3"/>
      <c r="I235" s="4">
        <v>15</v>
      </c>
      <c r="J235" s="5">
        <f t="shared" si="9"/>
        <v>3</v>
      </c>
      <c r="K235" s="4">
        <v>0</v>
      </c>
      <c r="L235" s="4">
        <v>12</v>
      </c>
      <c r="M235" s="4">
        <v>12</v>
      </c>
      <c r="N235" s="4">
        <f t="shared" si="10"/>
        <v>3</v>
      </c>
      <c r="O235" s="65">
        <f t="shared" si="11"/>
        <v>30000</v>
      </c>
    </row>
    <row r="236" spans="1:15" ht="14.4" x14ac:dyDescent="0.3">
      <c r="A236" s="6">
        <v>46149</v>
      </c>
      <c r="B236" s="49" t="s">
        <v>18</v>
      </c>
      <c r="C236" s="4">
        <v>8</v>
      </c>
      <c r="D236" s="2">
        <f>VLOOKUP(B236,[1]lantai9!$B:$G,6,FALSE)</f>
        <v>15000</v>
      </c>
      <c r="E236" s="2">
        <f>VLOOKUP(B236,karyawan!B:D,3,FALSE)</f>
        <v>13807</v>
      </c>
      <c r="F236" s="2" t="str">
        <f>VLOOKUP(B236,karyawan!B:E,4,FALSE)</f>
        <v>Compliance</v>
      </c>
      <c r="G236" s="3">
        <v>10</v>
      </c>
      <c r="H236" s="3"/>
      <c r="I236" s="4">
        <v>0</v>
      </c>
      <c r="J236" s="5">
        <f t="shared" si="9"/>
        <v>10</v>
      </c>
      <c r="K236" s="4">
        <v>0</v>
      </c>
      <c r="L236" s="4">
        <v>1</v>
      </c>
      <c r="M236" s="4">
        <v>0</v>
      </c>
      <c r="N236" s="4">
        <f t="shared" si="10"/>
        <v>0</v>
      </c>
      <c r="O236" s="65">
        <f t="shared" si="11"/>
        <v>0</v>
      </c>
    </row>
    <row r="237" spans="1:15" ht="14.4" x14ac:dyDescent="0.3">
      <c r="A237" s="6">
        <v>46149</v>
      </c>
      <c r="B237" s="49" t="s">
        <v>10</v>
      </c>
      <c r="C237" s="4">
        <v>8</v>
      </c>
      <c r="D237" s="2">
        <f>VLOOKUP(B237,[1]lantai9!$B:$G,6,FALSE)</f>
        <v>23000</v>
      </c>
      <c r="E237" s="2">
        <f>VLOOKUP(B237,karyawan!B:D,3,FALSE)</f>
        <v>21760</v>
      </c>
      <c r="F237" s="2" t="str">
        <f>VLOOKUP(B237,karyawan!B:E,4,FALSE)</f>
        <v>Compliance</v>
      </c>
      <c r="G237" s="3">
        <v>7</v>
      </c>
      <c r="H237" s="3"/>
      <c r="I237" s="4">
        <v>7</v>
      </c>
      <c r="J237" s="5">
        <f t="shared" si="9"/>
        <v>1</v>
      </c>
      <c r="K237" s="4">
        <v>0</v>
      </c>
      <c r="L237" s="4">
        <v>7</v>
      </c>
      <c r="M237" s="4">
        <v>6</v>
      </c>
      <c r="N237" s="4">
        <f t="shared" si="10"/>
        <v>1</v>
      </c>
      <c r="O237" s="65">
        <f t="shared" si="11"/>
        <v>23000</v>
      </c>
    </row>
    <row r="238" spans="1:15" ht="14.4" x14ac:dyDescent="0.3">
      <c r="A238" s="6">
        <v>46149</v>
      </c>
      <c r="B238" s="49" t="s">
        <v>23</v>
      </c>
      <c r="C238" s="4">
        <v>8</v>
      </c>
      <c r="D238" s="2">
        <f>VLOOKUP(B238,[1]lantai9!$B:$G,6,FALSE)</f>
        <v>11000</v>
      </c>
      <c r="E238" s="2">
        <f>VLOOKUP(B238,karyawan!B:D,3,FALSE)</f>
        <v>10000</v>
      </c>
      <c r="F238" s="2" t="str">
        <f>VLOOKUP(B238,karyawan!B:E,4,FALSE)</f>
        <v>Compliance</v>
      </c>
      <c r="G238" s="3">
        <v>8</v>
      </c>
      <c r="H238" s="3"/>
      <c r="I238" s="4">
        <v>5</v>
      </c>
      <c r="J238" s="5">
        <f t="shared" si="9"/>
        <v>5</v>
      </c>
      <c r="K238" s="4">
        <v>0</v>
      </c>
      <c r="L238" s="4">
        <v>3</v>
      </c>
      <c r="M238" s="4">
        <v>3</v>
      </c>
      <c r="N238" s="4">
        <f t="shared" si="10"/>
        <v>2</v>
      </c>
      <c r="O238" s="65">
        <f t="shared" si="11"/>
        <v>22000</v>
      </c>
    </row>
    <row r="239" spans="1:15" ht="14.4" x14ac:dyDescent="0.3">
      <c r="A239" s="6">
        <v>46149</v>
      </c>
      <c r="B239" s="49" t="s">
        <v>24</v>
      </c>
      <c r="C239" s="4">
        <v>8</v>
      </c>
      <c r="D239" s="2">
        <f>VLOOKUP(B239,[1]lantai9!$B:$G,6,FALSE)</f>
        <v>14500</v>
      </c>
      <c r="E239" s="2">
        <f>VLOOKUP(B239,karyawan!B:D,3,FALSE)</f>
        <v>13500</v>
      </c>
      <c r="F239" s="2" t="str">
        <f>VLOOKUP(B239,karyawan!B:E,4,FALSE)</f>
        <v>Compliance</v>
      </c>
      <c r="G239" s="3">
        <v>6</v>
      </c>
      <c r="H239" s="3"/>
      <c r="I239" s="4">
        <v>0</v>
      </c>
      <c r="J239" s="5">
        <f t="shared" si="9"/>
        <v>6</v>
      </c>
      <c r="K239" s="4">
        <v>0</v>
      </c>
      <c r="L239" s="4">
        <v>0</v>
      </c>
      <c r="M239" s="4">
        <v>0</v>
      </c>
      <c r="N239" s="4">
        <f t="shared" si="10"/>
        <v>0</v>
      </c>
      <c r="O239" s="65">
        <f t="shared" si="11"/>
        <v>0</v>
      </c>
    </row>
    <row r="240" spans="1:15" ht="14.4" x14ac:dyDescent="0.3">
      <c r="A240" s="6">
        <v>46149</v>
      </c>
      <c r="B240" s="49" t="s">
        <v>15</v>
      </c>
      <c r="C240" s="4">
        <v>8</v>
      </c>
      <c r="D240" s="2">
        <f>VLOOKUP(B240,[1]lantai9!$B:$G,6,FALSE)</f>
        <v>3500</v>
      </c>
      <c r="E240" s="2">
        <f>VLOOKUP(B240,karyawan!B:D,3,FALSE)</f>
        <v>2500</v>
      </c>
      <c r="F240" s="2" t="str">
        <f>VLOOKUP(B240,karyawan!B:E,4,FALSE)</f>
        <v>Compliance</v>
      </c>
      <c r="G240" s="3">
        <v>20</v>
      </c>
      <c r="H240" s="3"/>
      <c r="I240" s="3">
        <v>20</v>
      </c>
      <c r="J240" s="5">
        <f t="shared" si="9"/>
        <v>0</v>
      </c>
      <c r="K240" s="41">
        <v>0</v>
      </c>
      <c r="L240" s="4">
        <v>20</v>
      </c>
      <c r="M240" s="4">
        <v>20</v>
      </c>
      <c r="N240" s="4">
        <f t="shared" si="10"/>
        <v>0</v>
      </c>
      <c r="O240" s="65">
        <f t="shared" si="11"/>
        <v>0</v>
      </c>
    </row>
    <row r="241" spans="1:15" ht="14.4" x14ac:dyDescent="0.3">
      <c r="A241" s="6">
        <v>46149</v>
      </c>
      <c r="B241" s="49" t="s">
        <v>4</v>
      </c>
      <c r="C241" s="4">
        <v>9</v>
      </c>
      <c r="D241" s="2">
        <f>VLOOKUP(B241,[1]lantai9!$B:$G,6,FALSE)</f>
        <v>35000</v>
      </c>
      <c r="E241" s="2">
        <f>VLOOKUP(B241,karyawan!B:D,3,FALSE)</f>
        <v>34000</v>
      </c>
      <c r="F241" s="2" t="str">
        <f>VLOOKUP(B241,karyawan!B:E,4,FALSE)</f>
        <v>Florida</v>
      </c>
      <c r="G241" s="3">
        <v>5</v>
      </c>
      <c r="H241" s="3"/>
      <c r="I241" s="4">
        <v>5</v>
      </c>
      <c r="J241" s="5">
        <f t="shared" si="9"/>
        <v>1</v>
      </c>
      <c r="K241" s="4">
        <v>0</v>
      </c>
      <c r="L241" s="4">
        <v>4</v>
      </c>
      <c r="M241" s="4">
        <v>4</v>
      </c>
      <c r="N241" s="4">
        <f t="shared" si="10"/>
        <v>1</v>
      </c>
      <c r="O241" s="65">
        <f t="shared" si="11"/>
        <v>35000</v>
      </c>
    </row>
    <row r="242" spans="1:15" ht="14.4" x14ac:dyDescent="0.3">
      <c r="A242" s="6">
        <v>46149</v>
      </c>
      <c r="B242" s="49" t="s">
        <v>13</v>
      </c>
      <c r="C242" s="4">
        <v>9</v>
      </c>
      <c r="D242" s="2">
        <f>VLOOKUP(B242,[1]lantai9!$B:$G,6,FALSE)</f>
        <v>23000</v>
      </c>
      <c r="E242" s="2">
        <f>VLOOKUP(B242,karyawan!B:D,3,FALSE)</f>
        <v>22000</v>
      </c>
      <c r="F242" s="2" t="str">
        <f>VLOOKUP(B242,karyawan!B:E,4,FALSE)</f>
        <v>Yohannes</v>
      </c>
      <c r="G242" s="3">
        <v>6</v>
      </c>
      <c r="H242" s="3"/>
      <c r="I242" s="4">
        <v>6</v>
      </c>
      <c r="J242" s="5">
        <f t="shared" si="9"/>
        <v>4</v>
      </c>
      <c r="K242" s="4">
        <v>0</v>
      </c>
      <c r="L242" s="4">
        <v>4</v>
      </c>
      <c r="M242" s="4">
        <v>2</v>
      </c>
      <c r="N242" s="4">
        <f t="shared" si="10"/>
        <v>4</v>
      </c>
      <c r="O242" s="65">
        <f t="shared" si="11"/>
        <v>92000</v>
      </c>
    </row>
    <row r="243" spans="1:15" ht="14.4" x14ac:dyDescent="0.3">
      <c r="A243" s="6">
        <v>46149</v>
      </c>
      <c r="B243" s="49" t="s">
        <v>12</v>
      </c>
      <c r="C243" s="4">
        <v>9</v>
      </c>
      <c r="D243" s="2">
        <f>VLOOKUP(B243,[1]lantai9!$B:$G,6,FALSE)</f>
        <v>21000</v>
      </c>
      <c r="E243" s="2">
        <f>VLOOKUP(B243,karyawan!B:D,3,FALSE)</f>
        <v>20000</v>
      </c>
      <c r="F243" s="2" t="str">
        <f>VLOOKUP(B243,karyawan!B:E,4,FALSE)</f>
        <v>Damaz</v>
      </c>
      <c r="G243" s="3">
        <v>2</v>
      </c>
      <c r="H243" s="3"/>
      <c r="I243" s="4">
        <v>0</v>
      </c>
      <c r="J243" s="5">
        <f t="shared" si="9"/>
        <v>2</v>
      </c>
      <c r="K243" s="4">
        <v>0</v>
      </c>
      <c r="L243" s="4">
        <v>0</v>
      </c>
      <c r="M243" s="4">
        <v>0</v>
      </c>
      <c r="N243" s="4">
        <f t="shared" si="10"/>
        <v>0</v>
      </c>
      <c r="O243" s="65">
        <f t="shared" si="11"/>
        <v>0</v>
      </c>
    </row>
    <row r="244" spans="1:15" ht="14.4" x14ac:dyDescent="0.3">
      <c r="A244" s="6">
        <v>46149</v>
      </c>
      <c r="B244" s="49" t="s">
        <v>11</v>
      </c>
      <c r="C244" s="4">
        <v>9</v>
      </c>
      <c r="D244" s="2">
        <f>VLOOKUP(B244,[1]lantai9!$B:$G,6,FALSE)</f>
        <v>36000</v>
      </c>
      <c r="E244" s="2">
        <f>VLOOKUP(B244,karyawan!B:D,3,FALSE)</f>
        <v>35000</v>
      </c>
      <c r="F244" s="2" t="str">
        <f>VLOOKUP(B244,karyawan!B:E,4,FALSE)</f>
        <v>Damaz</v>
      </c>
      <c r="G244" s="3">
        <v>3</v>
      </c>
      <c r="H244" s="3"/>
      <c r="I244" s="4">
        <v>0</v>
      </c>
      <c r="J244" s="5">
        <f t="shared" si="9"/>
        <v>3</v>
      </c>
      <c r="K244" s="4">
        <v>0</v>
      </c>
      <c r="L244" s="4">
        <v>0</v>
      </c>
      <c r="M244" s="4">
        <v>0</v>
      </c>
      <c r="N244" s="4">
        <f t="shared" si="10"/>
        <v>0</v>
      </c>
      <c r="O244" s="65">
        <f t="shared" si="11"/>
        <v>0</v>
      </c>
    </row>
    <row r="245" spans="1:15" ht="14.4" x14ac:dyDescent="0.3">
      <c r="A245" s="6">
        <v>46149</v>
      </c>
      <c r="B245" s="49" t="s">
        <v>14</v>
      </c>
      <c r="C245" s="4">
        <v>9</v>
      </c>
      <c r="D245" s="2">
        <f>VLOOKUP(B245,[1]lantai9!$B:$G,6,FALSE)</f>
        <v>23000</v>
      </c>
      <c r="E245" s="2">
        <f>VLOOKUP(B245,karyawan!B:D,3,FALSE)</f>
        <v>22000</v>
      </c>
      <c r="F245" s="2" t="str">
        <f>VLOOKUP(B245,karyawan!B:E,4,FALSE)</f>
        <v>Vale</v>
      </c>
      <c r="G245" s="3">
        <v>5</v>
      </c>
      <c r="H245" s="3"/>
      <c r="I245" s="4">
        <v>0</v>
      </c>
      <c r="J245" s="5">
        <f t="shared" si="9"/>
        <v>5</v>
      </c>
      <c r="K245" s="4">
        <v>0</v>
      </c>
      <c r="L245" s="4">
        <v>0</v>
      </c>
      <c r="M245" s="4">
        <v>0</v>
      </c>
      <c r="N245" s="4">
        <f t="shared" si="10"/>
        <v>0</v>
      </c>
      <c r="O245" s="65">
        <f t="shared" si="11"/>
        <v>0</v>
      </c>
    </row>
    <row r="246" spans="1:15" ht="14.4" x14ac:dyDescent="0.3">
      <c r="A246" s="6">
        <v>46149</v>
      </c>
      <c r="B246" s="49" t="s">
        <v>7</v>
      </c>
      <c r="C246" s="4">
        <v>9</v>
      </c>
      <c r="D246" s="2">
        <f>VLOOKUP(B246,[1]lantai9!$B:$G,6,FALSE)</f>
        <v>15000</v>
      </c>
      <c r="E246" s="2">
        <f>VLOOKUP(B246,karyawan!B:D,3,FALSE)</f>
        <v>14000</v>
      </c>
      <c r="F246" s="2" t="str">
        <f>VLOOKUP(B246,karyawan!B:E,4,FALSE)</f>
        <v>Desy</v>
      </c>
      <c r="G246" s="3">
        <v>6</v>
      </c>
      <c r="H246" s="3"/>
      <c r="I246" s="3">
        <v>5</v>
      </c>
      <c r="J246" s="5">
        <f t="shared" si="9"/>
        <v>3</v>
      </c>
      <c r="K246" s="41">
        <v>0</v>
      </c>
      <c r="L246" s="3">
        <v>4</v>
      </c>
      <c r="M246" s="3">
        <v>3</v>
      </c>
      <c r="N246" s="4">
        <f t="shared" si="10"/>
        <v>2</v>
      </c>
      <c r="O246" s="65">
        <f t="shared" si="11"/>
        <v>30000</v>
      </c>
    </row>
    <row r="247" spans="1:15" ht="14.4" x14ac:dyDescent="0.3">
      <c r="A247" s="6">
        <v>46149</v>
      </c>
      <c r="B247" s="49" t="s">
        <v>16</v>
      </c>
      <c r="C247" s="4">
        <v>9</v>
      </c>
      <c r="D247" s="2">
        <f>VLOOKUP(B247,[1]lantai9!$B:$G,6,FALSE)</f>
        <v>18000</v>
      </c>
      <c r="E247" s="2">
        <f>VLOOKUP(B247,karyawan!B:D,3,FALSE)</f>
        <v>17000</v>
      </c>
      <c r="F247" s="2" t="str">
        <f>VLOOKUP(B247,karyawan!B:E,4,FALSE)</f>
        <v>Geby</v>
      </c>
      <c r="G247" s="3">
        <v>6</v>
      </c>
      <c r="H247" s="3"/>
      <c r="I247" s="4">
        <v>0</v>
      </c>
      <c r="J247" s="5">
        <f t="shared" si="9"/>
        <v>6</v>
      </c>
      <c r="K247" s="4">
        <v>0</v>
      </c>
      <c r="L247" s="48"/>
      <c r="M247" s="4">
        <v>0</v>
      </c>
      <c r="N247" s="4">
        <f t="shared" si="10"/>
        <v>0</v>
      </c>
      <c r="O247" s="65">
        <f t="shared" si="11"/>
        <v>0</v>
      </c>
    </row>
    <row r="248" spans="1:15" ht="14.4" x14ac:dyDescent="0.3">
      <c r="A248" s="6">
        <v>46149</v>
      </c>
      <c r="B248" s="49" t="s">
        <v>6</v>
      </c>
      <c r="C248" s="4">
        <v>9</v>
      </c>
      <c r="D248" s="2">
        <f>VLOOKUP(B248,[1]lantai9!$B:$G,6,FALSE)</f>
        <v>21000</v>
      </c>
      <c r="E248" s="2">
        <f>VLOOKUP(B248,karyawan!B:D,3,FALSE)</f>
        <v>20000</v>
      </c>
      <c r="F248" s="2" t="str">
        <f>VLOOKUP(B248,karyawan!B:E,4,FALSE)</f>
        <v>Geby</v>
      </c>
      <c r="G248" s="3">
        <v>2</v>
      </c>
      <c r="H248" s="3"/>
      <c r="I248" s="4">
        <v>0</v>
      </c>
      <c r="J248" s="5">
        <f t="shared" si="9"/>
        <v>2</v>
      </c>
      <c r="K248" s="4">
        <v>0</v>
      </c>
      <c r="L248" s="48"/>
      <c r="M248" s="4">
        <v>0</v>
      </c>
      <c r="N248" s="4">
        <f t="shared" si="10"/>
        <v>0</v>
      </c>
      <c r="O248" s="65">
        <f t="shared" si="11"/>
        <v>0</v>
      </c>
    </row>
    <row r="249" spans="1:15" ht="14.4" x14ac:dyDescent="0.3">
      <c r="A249" s="6">
        <v>46149</v>
      </c>
      <c r="B249" s="49" t="s">
        <v>20</v>
      </c>
      <c r="C249" s="4">
        <v>9</v>
      </c>
      <c r="D249" s="2">
        <f>VLOOKUP(B249,[1]lantai9!$B:$G,6,FALSE)</f>
        <v>35000</v>
      </c>
      <c r="E249" s="2">
        <f>VLOOKUP(B249,karyawan!B:D,3,FALSE)</f>
        <v>34000</v>
      </c>
      <c r="F249" s="2" t="str">
        <f>VLOOKUP(B249,karyawan!B:E,4,FALSE)</f>
        <v>Sherly</v>
      </c>
      <c r="G249" s="3">
        <v>2</v>
      </c>
      <c r="H249" s="3"/>
      <c r="I249" s="4">
        <v>2</v>
      </c>
      <c r="J249" s="5">
        <f t="shared" si="9"/>
        <v>0</v>
      </c>
      <c r="K249" s="4">
        <v>0</v>
      </c>
      <c r="L249" s="4">
        <v>2</v>
      </c>
      <c r="M249" s="4">
        <v>2</v>
      </c>
      <c r="N249" s="4">
        <f t="shared" si="10"/>
        <v>0</v>
      </c>
      <c r="O249" s="65">
        <f t="shared" si="11"/>
        <v>0</v>
      </c>
    </row>
    <row r="250" spans="1:15" ht="14.4" x14ac:dyDescent="0.3">
      <c r="A250" s="6">
        <v>46149</v>
      </c>
      <c r="B250" s="49" t="s">
        <v>21</v>
      </c>
      <c r="C250" s="4">
        <v>9</v>
      </c>
      <c r="D250" s="2">
        <f>VLOOKUP(B250,[1]lantai9!$B:$G,6,FALSE)</f>
        <v>40000</v>
      </c>
      <c r="E250" s="2">
        <f>VLOOKUP(B250,karyawan!B:D,3,FALSE)</f>
        <v>39000</v>
      </c>
      <c r="F250" s="2" t="str">
        <f>VLOOKUP(B250,karyawan!B:E,4,FALSE)</f>
        <v>Sherly</v>
      </c>
      <c r="G250" s="3">
        <v>4</v>
      </c>
      <c r="H250" s="3"/>
      <c r="I250" s="4">
        <v>4</v>
      </c>
      <c r="J250" s="5">
        <f t="shared" si="9"/>
        <v>1</v>
      </c>
      <c r="K250" s="4">
        <v>0</v>
      </c>
      <c r="L250" s="4">
        <v>4</v>
      </c>
      <c r="M250" s="4">
        <v>3</v>
      </c>
      <c r="N250" s="4">
        <f t="shared" si="10"/>
        <v>1</v>
      </c>
      <c r="O250" s="65">
        <f t="shared" si="11"/>
        <v>40000</v>
      </c>
    </row>
    <row r="251" spans="1:15" ht="14.4" x14ac:dyDescent="0.3">
      <c r="A251" s="6">
        <v>46149</v>
      </c>
      <c r="B251" s="49" t="s">
        <v>19</v>
      </c>
      <c r="C251" s="4">
        <v>9</v>
      </c>
      <c r="D251" s="2">
        <f>VLOOKUP(B251,[1]lantai9!$B:$G,6,FALSE)</f>
        <v>2500</v>
      </c>
      <c r="E251" s="2">
        <f>VLOOKUP(B251,karyawan!B:D,3,FALSE)</f>
        <v>1480</v>
      </c>
      <c r="F251" s="2" t="str">
        <f>VLOOKUP(B251,karyawan!B:E,4,FALSE)</f>
        <v>Compliance</v>
      </c>
      <c r="G251" s="3">
        <v>12</v>
      </c>
      <c r="H251" s="3"/>
      <c r="I251" s="3">
        <v>4</v>
      </c>
      <c r="J251" s="5">
        <f t="shared" si="9"/>
        <v>8</v>
      </c>
      <c r="K251" s="41">
        <v>0</v>
      </c>
      <c r="L251" s="4">
        <v>5</v>
      </c>
      <c r="M251" s="4">
        <v>4</v>
      </c>
      <c r="N251" s="4">
        <f t="shared" si="10"/>
        <v>0</v>
      </c>
      <c r="O251" s="65">
        <f t="shared" si="11"/>
        <v>0</v>
      </c>
    </row>
    <row r="252" spans="1:15" ht="14.4" x14ac:dyDescent="0.3">
      <c r="A252" s="6">
        <v>46149</v>
      </c>
      <c r="B252" s="49" t="s">
        <v>17</v>
      </c>
      <c r="C252" s="4">
        <v>9</v>
      </c>
      <c r="D252" s="2">
        <f>VLOOKUP(B252,[1]lantai9!$B:$G,6,FALSE)</f>
        <v>2000</v>
      </c>
      <c r="E252" s="2">
        <f>VLOOKUP(B252,karyawan!B:D,3,FALSE)</f>
        <v>1074</v>
      </c>
      <c r="F252" s="2" t="str">
        <f>VLOOKUP(B252,karyawan!B:E,4,FALSE)</f>
        <v>Compliance</v>
      </c>
      <c r="G252" s="3">
        <v>10</v>
      </c>
      <c r="H252" s="3"/>
      <c r="I252" s="4">
        <v>0</v>
      </c>
      <c r="J252" s="5">
        <f t="shared" si="9"/>
        <v>10</v>
      </c>
      <c r="K252" s="4">
        <v>0</v>
      </c>
      <c r="L252" s="4">
        <v>0</v>
      </c>
      <c r="M252" s="4">
        <v>0</v>
      </c>
      <c r="N252" s="4">
        <f t="shared" si="10"/>
        <v>0</v>
      </c>
      <c r="O252" s="65">
        <f t="shared" si="11"/>
        <v>0</v>
      </c>
    </row>
    <row r="253" spans="1:15" ht="14.4" x14ac:dyDescent="0.3">
      <c r="A253" s="6">
        <v>46149</v>
      </c>
      <c r="B253" s="49" t="s">
        <v>5</v>
      </c>
      <c r="C253" s="4">
        <v>9</v>
      </c>
      <c r="D253" s="2">
        <f>VLOOKUP(B253,[1]lantai9!$B:$G,6,FALSE)</f>
        <v>2500</v>
      </c>
      <c r="E253" s="2">
        <f>VLOOKUP(B253,karyawan!B:D,3,FALSE)</f>
        <v>1465</v>
      </c>
      <c r="F253" s="2" t="str">
        <f>VLOOKUP(B253,karyawan!B:E,4,FALSE)</f>
        <v>Compliance</v>
      </c>
      <c r="G253" s="3">
        <v>10</v>
      </c>
      <c r="H253" s="3"/>
      <c r="I253" s="4">
        <v>0</v>
      </c>
      <c r="J253" s="5">
        <f t="shared" si="9"/>
        <v>10</v>
      </c>
      <c r="K253" s="4">
        <v>0</v>
      </c>
      <c r="L253" s="3">
        <v>-1</v>
      </c>
      <c r="M253" s="3">
        <v>0</v>
      </c>
      <c r="N253" s="4">
        <f t="shared" si="10"/>
        <v>0</v>
      </c>
      <c r="O253" s="65">
        <f t="shared" si="11"/>
        <v>0</v>
      </c>
    </row>
    <row r="254" spans="1:15" ht="14.4" x14ac:dyDescent="0.3">
      <c r="A254" s="6">
        <v>46149</v>
      </c>
      <c r="B254" s="49" t="s">
        <v>3</v>
      </c>
      <c r="C254" s="4">
        <v>9</v>
      </c>
      <c r="D254" s="2">
        <f>VLOOKUP(B254,[1]lantai9!$B:$G,6,FALSE)</f>
        <v>10000</v>
      </c>
      <c r="E254" s="2">
        <f>VLOOKUP(B254,karyawan!B:D,3,FALSE)</f>
        <v>9200</v>
      </c>
      <c r="F254" s="2" t="str">
        <f>VLOOKUP(B254,karyawan!B:E,4,FALSE)</f>
        <v>Compliance</v>
      </c>
      <c r="G254" s="3">
        <v>15</v>
      </c>
      <c r="H254" s="3"/>
      <c r="I254" s="4">
        <v>15</v>
      </c>
      <c r="J254" s="5">
        <f t="shared" si="9"/>
        <v>2</v>
      </c>
      <c r="K254" s="4">
        <v>0</v>
      </c>
      <c r="L254" s="4">
        <v>13</v>
      </c>
      <c r="M254" s="4">
        <v>13</v>
      </c>
      <c r="N254" s="4">
        <f t="shared" si="10"/>
        <v>2</v>
      </c>
      <c r="O254" s="65">
        <f t="shared" si="11"/>
        <v>20000</v>
      </c>
    </row>
    <row r="255" spans="1:15" ht="14.4" x14ac:dyDescent="0.3">
      <c r="A255" s="6">
        <v>46149</v>
      </c>
      <c r="B255" s="49" t="s">
        <v>18</v>
      </c>
      <c r="C255" s="4">
        <v>9</v>
      </c>
      <c r="D255" s="2">
        <f>VLOOKUP(B255,[1]lantai9!$B:$G,6,FALSE)</f>
        <v>15000</v>
      </c>
      <c r="E255" s="2">
        <f>VLOOKUP(B255,karyawan!B:D,3,FALSE)</f>
        <v>13807</v>
      </c>
      <c r="F255" s="2" t="str">
        <f>VLOOKUP(B255,karyawan!B:E,4,FALSE)</f>
        <v>Compliance</v>
      </c>
      <c r="G255" s="3">
        <v>10</v>
      </c>
      <c r="H255" s="3"/>
      <c r="I255" s="4">
        <v>0</v>
      </c>
      <c r="J255" s="5">
        <f t="shared" si="9"/>
        <v>10</v>
      </c>
      <c r="K255" s="4">
        <v>0</v>
      </c>
      <c r="L255" s="4">
        <v>0</v>
      </c>
      <c r="M255" s="4">
        <v>0</v>
      </c>
      <c r="N255" s="4">
        <f t="shared" si="10"/>
        <v>0</v>
      </c>
      <c r="O255" s="65">
        <f t="shared" si="11"/>
        <v>0</v>
      </c>
    </row>
    <row r="256" spans="1:15" ht="14.4" x14ac:dyDescent="0.3">
      <c r="A256" s="6">
        <v>46149</v>
      </c>
      <c r="B256" s="49" t="s">
        <v>10</v>
      </c>
      <c r="C256" s="4">
        <v>9</v>
      </c>
      <c r="D256" s="2">
        <f>VLOOKUP(B256,[1]lantai9!$B:$G,6,FALSE)</f>
        <v>23000</v>
      </c>
      <c r="E256" s="2">
        <f>VLOOKUP(B256,karyawan!B:D,3,FALSE)</f>
        <v>21760</v>
      </c>
      <c r="F256" s="2" t="str">
        <f>VLOOKUP(B256,karyawan!B:E,4,FALSE)</f>
        <v>Compliance</v>
      </c>
      <c r="G256" s="3">
        <v>7</v>
      </c>
      <c r="H256" s="3"/>
      <c r="I256" s="4">
        <v>7</v>
      </c>
      <c r="J256" s="5">
        <f t="shared" si="9"/>
        <v>3</v>
      </c>
      <c r="K256" s="4">
        <v>0</v>
      </c>
      <c r="L256" s="4">
        <v>4</v>
      </c>
      <c r="M256" s="4">
        <v>4</v>
      </c>
      <c r="N256" s="4">
        <f t="shared" si="10"/>
        <v>3</v>
      </c>
      <c r="O256" s="65">
        <f t="shared" si="11"/>
        <v>69000</v>
      </c>
    </row>
    <row r="257" spans="1:15" ht="14.4" x14ac:dyDescent="0.3">
      <c r="A257" s="6">
        <v>46149</v>
      </c>
      <c r="B257" s="49" t="s">
        <v>23</v>
      </c>
      <c r="C257" s="4">
        <v>9</v>
      </c>
      <c r="D257" s="2">
        <f>VLOOKUP(B257,[1]lantai9!$B:$G,6,FALSE)</f>
        <v>11000</v>
      </c>
      <c r="E257" s="2">
        <f>VLOOKUP(B257,karyawan!B:D,3,FALSE)</f>
        <v>10000</v>
      </c>
      <c r="F257" s="2" t="str">
        <f>VLOOKUP(B257,karyawan!B:E,4,FALSE)</f>
        <v>Compliance</v>
      </c>
      <c r="G257" s="3">
        <v>8</v>
      </c>
      <c r="H257" s="3"/>
      <c r="I257" s="4">
        <v>3</v>
      </c>
      <c r="J257" s="5">
        <f t="shared" si="9"/>
        <v>6</v>
      </c>
      <c r="K257" s="4">
        <v>0</v>
      </c>
      <c r="L257" s="4">
        <v>2</v>
      </c>
      <c r="M257" s="4">
        <v>2</v>
      </c>
      <c r="N257" s="4">
        <f t="shared" si="10"/>
        <v>1</v>
      </c>
      <c r="O257" s="65">
        <f t="shared" si="11"/>
        <v>11000</v>
      </c>
    </row>
    <row r="258" spans="1:15" ht="14.4" x14ac:dyDescent="0.3">
      <c r="A258" s="6">
        <v>46149</v>
      </c>
      <c r="B258" s="49" t="s">
        <v>24</v>
      </c>
      <c r="C258" s="4">
        <v>9</v>
      </c>
      <c r="D258" s="2">
        <f>VLOOKUP(B258,[1]lantai9!$B:$G,6,FALSE)</f>
        <v>14500</v>
      </c>
      <c r="E258" s="2">
        <f>VLOOKUP(B258,karyawan!B:D,3,FALSE)</f>
        <v>13500</v>
      </c>
      <c r="F258" s="2" t="str">
        <f>VLOOKUP(B258,karyawan!B:E,4,FALSE)</f>
        <v>Compliance</v>
      </c>
      <c r="G258" s="3">
        <v>6</v>
      </c>
      <c r="H258" s="3"/>
      <c r="I258" s="4">
        <v>0</v>
      </c>
      <c r="J258" s="5">
        <f t="shared" ref="J258:J322" si="12">IF($G258-$M258&lt;0,0,$G258-$M258)</f>
        <v>6</v>
      </c>
      <c r="K258" s="4">
        <v>0</v>
      </c>
      <c r="L258" s="4">
        <v>0</v>
      </c>
      <c r="M258" s="4">
        <v>0</v>
      </c>
      <c r="N258" s="4">
        <f t="shared" ref="N258:N321" si="13">MAX($I258-$M258,0)</f>
        <v>0</v>
      </c>
      <c r="O258" s="65">
        <f t="shared" ref="O258:O321" si="14">N258*D258</f>
        <v>0</v>
      </c>
    </row>
    <row r="259" spans="1:15" ht="14.4" x14ac:dyDescent="0.3">
      <c r="A259" s="6">
        <v>46149</v>
      </c>
      <c r="B259" s="49" t="s">
        <v>15</v>
      </c>
      <c r="C259" s="4">
        <v>9</v>
      </c>
      <c r="D259" s="2">
        <f>VLOOKUP(B259,[1]lantai9!$B:$G,6,FALSE)</f>
        <v>3500</v>
      </c>
      <c r="E259" s="2">
        <f>VLOOKUP(B259,karyawan!B:D,3,FALSE)</f>
        <v>2500</v>
      </c>
      <c r="F259" s="2" t="str">
        <f>VLOOKUP(B259,karyawan!B:E,4,FALSE)</f>
        <v>Compliance</v>
      </c>
      <c r="G259" s="3">
        <v>20</v>
      </c>
      <c r="H259" s="3"/>
      <c r="I259" s="4">
        <v>11</v>
      </c>
      <c r="J259" s="5">
        <f t="shared" si="12"/>
        <v>18</v>
      </c>
      <c r="K259" s="4">
        <v>0</v>
      </c>
      <c r="L259" s="4">
        <v>4</v>
      </c>
      <c r="M259" s="4">
        <v>2</v>
      </c>
      <c r="N259" s="4">
        <f t="shared" si="13"/>
        <v>9</v>
      </c>
      <c r="O259" s="65">
        <f t="shared" si="14"/>
        <v>31500</v>
      </c>
    </row>
    <row r="260" spans="1:15" ht="14.4" x14ac:dyDescent="0.3">
      <c r="A260" s="6">
        <v>46153</v>
      </c>
      <c r="B260" s="49" t="s">
        <v>4</v>
      </c>
      <c r="C260" s="4">
        <v>3</v>
      </c>
      <c r="D260" s="2">
        <f>VLOOKUP(B260,[1]lantai9!$B:$G,6,FALSE)</f>
        <v>35000</v>
      </c>
      <c r="E260" s="2">
        <f>VLOOKUP(B260,karyawan!B:D,3,FALSE)</f>
        <v>34000</v>
      </c>
      <c r="F260" s="2" t="str">
        <f>VLOOKUP(B260,karyawan!B:E,4,FALSE)</f>
        <v>Florida</v>
      </c>
      <c r="G260" s="3">
        <v>5</v>
      </c>
      <c r="H260" s="3"/>
      <c r="I260" s="4">
        <v>4</v>
      </c>
      <c r="J260" s="5">
        <f t="shared" si="12"/>
        <v>1</v>
      </c>
      <c r="K260" s="4">
        <v>0</v>
      </c>
      <c r="L260" s="4">
        <v>4</v>
      </c>
      <c r="M260" s="4">
        <v>4</v>
      </c>
      <c r="N260" s="4">
        <f t="shared" si="13"/>
        <v>0</v>
      </c>
      <c r="O260" s="65">
        <f t="shared" si="14"/>
        <v>0</v>
      </c>
    </row>
    <row r="261" spans="1:15" ht="14.4" x14ac:dyDescent="0.3">
      <c r="A261" s="6">
        <v>46153</v>
      </c>
      <c r="B261" s="49" t="s">
        <v>13</v>
      </c>
      <c r="C261" s="4">
        <v>3</v>
      </c>
      <c r="D261" s="2">
        <f>VLOOKUP(B261,[1]lantai9!$B:$G,6,FALSE)</f>
        <v>23000</v>
      </c>
      <c r="E261" s="2">
        <f>VLOOKUP(B261,karyawan!B:D,3,FALSE)</f>
        <v>22000</v>
      </c>
      <c r="F261" s="2" t="str">
        <f>VLOOKUP(B261,karyawan!B:E,4,FALSE)</f>
        <v>Yohannes</v>
      </c>
      <c r="G261" s="3">
        <v>6</v>
      </c>
      <c r="H261" s="3"/>
      <c r="I261" s="3">
        <v>2</v>
      </c>
      <c r="J261" s="5">
        <f t="shared" si="12"/>
        <v>4</v>
      </c>
      <c r="K261" s="41">
        <v>0</v>
      </c>
      <c r="L261" s="4">
        <v>2</v>
      </c>
      <c r="M261" s="4">
        <v>2</v>
      </c>
      <c r="N261" s="4">
        <f t="shared" si="13"/>
        <v>0</v>
      </c>
      <c r="O261" s="65">
        <f t="shared" si="14"/>
        <v>0</v>
      </c>
    </row>
    <row r="262" spans="1:15" ht="14.4" x14ac:dyDescent="0.3">
      <c r="A262" s="6">
        <v>46153</v>
      </c>
      <c r="B262" s="49" t="s">
        <v>12</v>
      </c>
      <c r="C262" s="4">
        <v>3</v>
      </c>
      <c r="D262" s="2">
        <f>VLOOKUP(B262,[1]lantai9!$B:$G,6,FALSE)</f>
        <v>21000</v>
      </c>
      <c r="E262" s="2">
        <f>VLOOKUP(B262,karyawan!B:D,3,FALSE)</f>
        <v>20000</v>
      </c>
      <c r="F262" s="2" t="str">
        <f>VLOOKUP(B262,karyawan!B:E,4,FALSE)</f>
        <v>Damaz</v>
      </c>
      <c r="G262" s="3">
        <v>2</v>
      </c>
      <c r="H262" s="3"/>
      <c r="I262" s="3">
        <v>2</v>
      </c>
      <c r="J262" s="5">
        <f t="shared" si="12"/>
        <v>2</v>
      </c>
      <c r="K262" s="41">
        <v>0</v>
      </c>
      <c r="L262" s="4">
        <v>0</v>
      </c>
      <c r="M262" s="4">
        <v>0</v>
      </c>
      <c r="N262" s="4">
        <f t="shared" si="13"/>
        <v>2</v>
      </c>
      <c r="O262" s="65">
        <f t="shared" si="14"/>
        <v>42000</v>
      </c>
    </row>
    <row r="263" spans="1:15" ht="14.4" x14ac:dyDescent="0.3">
      <c r="A263" s="6">
        <v>46153</v>
      </c>
      <c r="B263" s="49" t="s">
        <v>11</v>
      </c>
      <c r="C263" s="4">
        <v>3</v>
      </c>
      <c r="D263" s="2">
        <f>VLOOKUP(B263,[1]lantai9!$B:$G,6,FALSE)</f>
        <v>36000</v>
      </c>
      <c r="E263" s="2">
        <f>VLOOKUP(B263,karyawan!B:D,3,FALSE)</f>
        <v>35000</v>
      </c>
      <c r="F263" s="2" t="str">
        <f>VLOOKUP(B263,karyawan!B:E,4,FALSE)</f>
        <v>Damaz</v>
      </c>
      <c r="G263" s="3">
        <v>3</v>
      </c>
      <c r="H263" s="3"/>
      <c r="I263" s="3">
        <v>3</v>
      </c>
      <c r="J263" s="5">
        <f t="shared" si="12"/>
        <v>3</v>
      </c>
      <c r="K263" s="41">
        <v>0</v>
      </c>
      <c r="L263" s="4">
        <v>0</v>
      </c>
      <c r="M263" s="4">
        <v>0</v>
      </c>
      <c r="N263" s="4">
        <f t="shared" si="13"/>
        <v>3</v>
      </c>
      <c r="O263" s="65">
        <f t="shared" si="14"/>
        <v>108000</v>
      </c>
    </row>
    <row r="264" spans="1:15" ht="14.4" x14ac:dyDescent="0.3">
      <c r="A264" s="6">
        <v>46153</v>
      </c>
      <c r="B264" s="49" t="s">
        <v>14</v>
      </c>
      <c r="C264" s="4">
        <v>3</v>
      </c>
      <c r="D264" s="2">
        <f>VLOOKUP(B264,[1]lantai9!$B:$G,6,FALSE)</f>
        <v>23000</v>
      </c>
      <c r="E264" s="2">
        <f>VLOOKUP(B264,karyawan!B:D,3,FALSE)</f>
        <v>22000</v>
      </c>
      <c r="F264" s="2" t="str">
        <f>VLOOKUP(B264,karyawan!B:E,4,FALSE)</f>
        <v>Vale</v>
      </c>
      <c r="G264" s="3">
        <v>5</v>
      </c>
      <c r="H264" s="3"/>
      <c r="I264" s="4">
        <v>0</v>
      </c>
      <c r="J264" s="5">
        <f t="shared" si="12"/>
        <v>5</v>
      </c>
      <c r="K264" s="4">
        <v>0</v>
      </c>
      <c r="L264" s="4">
        <v>0</v>
      </c>
      <c r="M264" s="4">
        <v>0</v>
      </c>
      <c r="N264" s="4">
        <f t="shared" si="13"/>
        <v>0</v>
      </c>
      <c r="O264" s="65">
        <f t="shared" si="14"/>
        <v>0</v>
      </c>
    </row>
    <row r="265" spans="1:15" ht="14.4" x14ac:dyDescent="0.3">
      <c r="A265" s="6">
        <v>46153</v>
      </c>
      <c r="B265" s="49" t="s">
        <v>7</v>
      </c>
      <c r="C265" s="4">
        <v>3</v>
      </c>
      <c r="D265" s="2">
        <f>VLOOKUP(B265,[1]lantai9!$B:$G,6,FALSE)</f>
        <v>15000</v>
      </c>
      <c r="E265" s="2">
        <f>VLOOKUP(B265,karyawan!B:D,3,FALSE)</f>
        <v>14000</v>
      </c>
      <c r="F265" s="2" t="str">
        <f>VLOOKUP(B265,karyawan!B:E,4,FALSE)</f>
        <v>Desy</v>
      </c>
      <c r="G265" s="3">
        <v>6</v>
      </c>
      <c r="H265" s="3"/>
      <c r="I265" s="3">
        <v>1</v>
      </c>
      <c r="J265" s="5">
        <f t="shared" si="12"/>
        <v>6</v>
      </c>
      <c r="K265" s="41">
        <v>0</v>
      </c>
      <c r="L265" s="4">
        <v>1</v>
      </c>
      <c r="M265" s="4">
        <v>0</v>
      </c>
      <c r="N265" s="4">
        <f t="shared" si="13"/>
        <v>1</v>
      </c>
      <c r="O265" s="65">
        <f t="shared" si="14"/>
        <v>15000</v>
      </c>
    </row>
    <row r="266" spans="1:15" ht="14.4" x14ac:dyDescent="0.3">
      <c r="A266" s="6">
        <v>46153</v>
      </c>
      <c r="B266" s="49" t="s">
        <v>8</v>
      </c>
      <c r="C266" s="4">
        <v>3</v>
      </c>
      <c r="D266" s="2">
        <f>VLOOKUP(B266,[1]lantai9!$B:$G,6,FALSE)</f>
        <v>18000</v>
      </c>
      <c r="E266" s="2">
        <f>VLOOKUP(B266,karyawan!B:D,3,FALSE)</f>
        <v>17000</v>
      </c>
      <c r="F266" s="2" t="str">
        <f>VLOOKUP(B266,karyawan!B:E,4,FALSE)</f>
        <v>Geby</v>
      </c>
      <c r="G266" s="3">
        <v>4</v>
      </c>
      <c r="H266" s="3"/>
      <c r="I266" s="3">
        <v>4</v>
      </c>
      <c r="J266" s="5">
        <f t="shared" si="12"/>
        <v>4</v>
      </c>
      <c r="K266" s="41">
        <v>0</v>
      </c>
      <c r="L266" s="4">
        <v>-1</v>
      </c>
      <c r="M266" s="4">
        <v>0</v>
      </c>
      <c r="N266" s="4">
        <f t="shared" si="13"/>
        <v>4</v>
      </c>
      <c r="O266" s="65">
        <f t="shared" si="14"/>
        <v>72000</v>
      </c>
    </row>
    <row r="267" spans="1:15" ht="14.4" x14ac:dyDescent="0.3">
      <c r="A267" s="6">
        <v>46153</v>
      </c>
      <c r="B267" s="49" t="s">
        <v>9</v>
      </c>
      <c r="C267" s="4">
        <v>3</v>
      </c>
      <c r="D267" s="2">
        <f>VLOOKUP(B267,[1]lantai9!$B:$G,6,FALSE)</f>
        <v>21000</v>
      </c>
      <c r="E267" s="2">
        <f>VLOOKUP(B267,karyawan!B:D,3,FALSE)</f>
        <v>20000</v>
      </c>
      <c r="F267" s="2" t="str">
        <f>VLOOKUP(B267,karyawan!B:E,4,FALSE)</f>
        <v>Geby</v>
      </c>
      <c r="G267" s="3">
        <v>3</v>
      </c>
      <c r="H267" s="3"/>
      <c r="I267" s="3">
        <v>3</v>
      </c>
      <c r="J267" s="5">
        <f t="shared" si="12"/>
        <v>2</v>
      </c>
      <c r="K267" s="41">
        <v>0</v>
      </c>
      <c r="L267" s="4">
        <v>0</v>
      </c>
      <c r="M267" s="4">
        <v>1</v>
      </c>
      <c r="N267" s="4">
        <f t="shared" si="13"/>
        <v>2</v>
      </c>
      <c r="O267" s="65">
        <f t="shared" si="14"/>
        <v>42000</v>
      </c>
    </row>
    <row r="268" spans="1:15" ht="14.4" x14ac:dyDescent="0.3">
      <c r="A268" s="6">
        <v>46153</v>
      </c>
      <c r="B268" s="49" t="s">
        <v>20</v>
      </c>
      <c r="C268" s="4">
        <v>3</v>
      </c>
      <c r="D268" s="2">
        <f>VLOOKUP(B268,[1]lantai9!$B:$G,6,FALSE)</f>
        <v>35000</v>
      </c>
      <c r="E268" s="2">
        <f>VLOOKUP(B268,karyawan!B:D,3,FALSE)</f>
        <v>34000</v>
      </c>
      <c r="F268" s="2" t="str">
        <f>VLOOKUP(B268,karyawan!B:E,4,FALSE)</f>
        <v>Sherly</v>
      </c>
      <c r="G268" s="3">
        <v>2</v>
      </c>
      <c r="H268" s="3"/>
      <c r="I268" s="3">
        <v>2</v>
      </c>
      <c r="J268" s="5">
        <f t="shared" si="12"/>
        <v>0</v>
      </c>
      <c r="K268" s="41">
        <v>0</v>
      </c>
      <c r="L268" s="4">
        <v>0</v>
      </c>
      <c r="M268" s="4">
        <v>2</v>
      </c>
      <c r="N268" s="4">
        <f t="shared" si="13"/>
        <v>0</v>
      </c>
      <c r="O268" s="65">
        <f t="shared" si="14"/>
        <v>0</v>
      </c>
    </row>
    <row r="269" spans="1:15" ht="14.4" x14ac:dyDescent="0.3">
      <c r="A269" s="6">
        <v>46153</v>
      </c>
      <c r="B269" s="49" t="s">
        <v>21</v>
      </c>
      <c r="C269" s="4">
        <v>3</v>
      </c>
      <c r="D269" s="2">
        <f>VLOOKUP(B269,[1]lantai9!$B:$G,6,FALSE)</f>
        <v>40000</v>
      </c>
      <c r="E269" s="2">
        <f>VLOOKUP(B269,karyawan!B:D,3,FALSE)</f>
        <v>39000</v>
      </c>
      <c r="F269" s="2" t="str">
        <f>VLOOKUP(B269,karyawan!B:E,4,FALSE)</f>
        <v>Sherly</v>
      </c>
      <c r="G269" s="3">
        <v>4</v>
      </c>
      <c r="H269" s="3"/>
      <c r="I269" s="3">
        <v>4</v>
      </c>
      <c r="J269" s="5">
        <f t="shared" si="12"/>
        <v>1</v>
      </c>
      <c r="K269" s="41">
        <v>0</v>
      </c>
      <c r="L269" s="4">
        <v>4</v>
      </c>
      <c r="M269" s="4">
        <v>3</v>
      </c>
      <c r="N269" s="4">
        <f t="shared" si="13"/>
        <v>1</v>
      </c>
      <c r="O269" s="65">
        <f t="shared" si="14"/>
        <v>40000</v>
      </c>
    </row>
    <row r="270" spans="1:15" ht="14.4" x14ac:dyDescent="0.3">
      <c r="A270" s="6">
        <v>46153</v>
      </c>
      <c r="B270" s="49" t="s">
        <v>19</v>
      </c>
      <c r="C270" s="4">
        <v>3</v>
      </c>
      <c r="D270" s="2">
        <f>VLOOKUP(B270,[1]lantai9!$B:$G,6,FALSE)</f>
        <v>2500</v>
      </c>
      <c r="E270" s="2">
        <f>VLOOKUP(B270,karyawan!B:D,3,FALSE)</f>
        <v>1480</v>
      </c>
      <c r="F270" s="2" t="str">
        <f>VLOOKUP(B270,karyawan!B:E,4,FALSE)</f>
        <v>Compliance</v>
      </c>
      <c r="G270" s="3">
        <v>12</v>
      </c>
      <c r="H270" s="3"/>
      <c r="I270" s="3">
        <v>3</v>
      </c>
      <c r="J270" s="5">
        <f t="shared" si="12"/>
        <v>9</v>
      </c>
      <c r="K270" s="41">
        <v>0</v>
      </c>
      <c r="L270" s="4">
        <v>3</v>
      </c>
      <c r="M270" s="4">
        <v>3</v>
      </c>
      <c r="N270" s="4">
        <f t="shared" si="13"/>
        <v>0</v>
      </c>
      <c r="O270" s="65">
        <f t="shared" si="14"/>
        <v>0</v>
      </c>
    </row>
    <row r="271" spans="1:15" ht="14.4" x14ac:dyDescent="0.3">
      <c r="A271" s="6">
        <v>46153</v>
      </c>
      <c r="B271" s="49" t="s">
        <v>17</v>
      </c>
      <c r="C271" s="4">
        <v>3</v>
      </c>
      <c r="D271" s="2">
        <f>VLOOKUP(B271,[1]lantai9!$B:$G,6,FALSE)</f>
        <v>2000</v>
      </c>
      <c r="E271" s="2">
        <f>VLOOKUP(B271,karyawan!B:D,3,FALSE)</f>
        <v>1074</v>
      </c>
      <c r="F271" s="2" t="str">
        <f>VLOOKUP(B271,karyawan!B:E,4,FALSE)</f>
        <v>Compliance</v>
      </c>
      <c r="G271" s="3">
        <v>10</v>
      </c>
      <c r="H271" s="3"/>
      <c r="I271" s="3">
        <v>10</v>
      </c>
      <c r="J271" s="5">
        <f t="shared" si="12"/>
        <v>6</v>
      </c>
      <c r="K271" s="41">
        <v>0</v>
      </c>
      <c r="L271" s="4">
        <v>14</v>
      </c>
      <c r="M271" s="4">
        <v>4</v>
      </c>
      <c r="N271" s="4">
        <f t="shared" si="13"/>
        <v>6</v>
      </c>
      <c r="O271" s="65">
        <f t="shared" si="14"/>
        <v>12000</v>
      </c>
    </row>
    <row r="272" spans="1:15" ht="14.4" x14ac:dyDescent="0.3">
      <c r="A272" s="6">
        <v>46153</v>
      </c>
      <c r="B272" s="49" t="s">
        <v>5</v>
      </c>
      <c r="C272" s="4">
        <v>3</v>
      </c>
      <c r="D272" s="2">
        <f>VLOOKUP(B272,[1]lantai9!$B:$G,6,FALSE)</f>
        <v>2500</v>
      </c>
      <c r="E272" s="2">
        <f>VLOOKUP(B272,karyawan!B:D,3,FALSE)</f>
        <v>1465</v>
      </c>
      <c r="F272" s="2" t="str">
        <f>VLOOKUP(B272,karyawan!B:E,4,FALSE)</f>
        <v>Compliance</v>
      </c>
      <c r="G272" s="3">
        <v>10</v>
      </c>
      <c r="H272" s="3"/>
      <c r="I272" s="3">
        <v>10</v>
      </c>
      <c r="J272" s="5">
        <f t="shared" si="12"/>
        <v>7</v>
      </c>
      <c r="K272" s="41">
        <v>0</v>
      </c>
      <c r="L272" s="4">
        <v>3</v>
      </c>
      <c r="M272" s="4">
        <v>3</v>
      </c>
      <c r="N272" s="4">
        <f t="shared" si="13"/>
        <v>7</v>
      </c>
      <c r="O272" s="65">
        <f t="shared" si="14"/>
        <v>17500</v>
      </c>
    </row>
    <row r="273" spans="1:15" ht="14.4" x14ac:dyDescent="0.3">
      <c r="A273" s="6">
        <v>46153</v>
      </c>
      <c r="B273" s="49" t="s">
        <v>3</v>
      </c>
      <c r="C273" s="4">
        <v>3</v>
      </c>
      <c r="D273" s="2">
        <f>VLOOKUP(B273,[1]lantai9!$B:$G,6,FALSE)</f>
        <v>10000</v>
      </c>
      <c r="E273" s="2">
        <f>VLOOKUP(B273,karyawan!B:D,3,FALSE)</f>
        <v>9200</v>
      </c>
      <c r="F273" s="2" t="str">
        <f>VLOOKUP(B273,karyawan!B:E,4,FALSE)</f>
        <v>Compliance</v>
      </c>
      <c r="G273" s="3">
        <v>15</v>
      </c>
      <c r="H273" s="3"/>
      <c r="I273" s="3">
        <v>15</v>
      </c>
      <c r="J273" s="5">
        <f t="shared" si="12"/>
        <v>0</v>
      </c>
      <c r="K273" s="41">
        <v>0</v>
      </c>
      <c r="L273" s="4">
        <v>15</v>
      </c>
      <c r="M273" s="4">
        <v>15</v>
      </c>
      <c r="N273" s="4">
        <f t="shared" si="13"/>
        <v>0</v>
      </c>
      <c r="O273" s="65">
        <f t="shared" si="14"/>
        <v>0</v>
      </c>
    </row>
    <row r="274" spans="1:15" ht="14.4" x14ac:dyDescent="0.3">
      <c r="A274" s="6">
        <v>46153</v>
      </c>
      <c r="B274" s="49" t="s">
        <v>18</v>
      </c>
      <c r="C274" s="4">
        <v>3</v>
      </c>
      <c r="D274" s="2">
        <f>VLOOKUP(B274,[1]lantai9!$B:$G,6,FALSE)</f>
        <v>15000</v>
      </c>
      <c r="E274" s="2">
        <f>VLOOKUP(B274,karyawan!B:D,3,FALSE)</f>
        <v>13807</v>
      </c>
      <c r="F274" s="2" t="str">
        <f>VLOOKUP(B274,karyawan!B:E,4,FALSE)</f>
        <v>Compliance</v>
      </c>
      <c r="G274" s="3">
        <v>10</v>
      </c>
      <c r="H274" s="3"/>
      <c r="I274" s="3">
        <v>10</v>
      </c>
      <c r="J274" s="5">
        <f t="shared" si="12"/>
        <v>10</v>
      </c>
      <c r="K274" s="41">
        <v>0</v>
      </c>
      <c r="L274" s="4">
        <v>1</v>
      </c>
      <c r="M274" s="4">
        <v>0</v>
      </c>
      <c r="N274" s="4">
        <f t="shared" si="13"/>
        <v>10</v>
      </c>
      <c r="O274" s="65">
        <f t="shared" si="14"/>
        <v>150000</v>
      </c>
    </row>
    <row r="275" spans="1:15" ht="14.4" x14ac:dyDescent="0.3">
      <c r="A275" s="6">
        <v>46153</v>
      </c>
      <c r="B275" s="49" t="s">
        <v>10</v>
      </c>
      <c r="C275" s="4">
        <v>3</v>
      </c>
      <c r="D275" s="2">
        <f>VLOOKUP(B275,[1]lantai9!$B:$G,6,FALSE)</f>
        <v>23000</v>
      </c>
      <c r="E275" s="2">
        <f>VLOOKUP(B275,karyawan!B:D,3,FALSE)</f>
        <v>21760</v>
      </c>
      <c r="F275" s="2" t="str">
        <f>VLOOKUP(B275,karyawan!B:E,4,FALSE)</f>
        <v>Compliance</v>
      </c>
      <c r="G275" s="3">
        <v>7</v>
      </c>
      <c r="H275" s="3"/>
      <c r="I275" s="3">
        <v>7</v>
      </c>
      <c r="J275" s="5">
        <f t="shared" si="12"/>
        <v>5</v>
      </c>
      <c r="K275" s="41">
        <v>0</v>
      </c>
      <c r="L275" s="4">
        <v>2</v>
      </c>
      <c r="M275" s="4">
        <v>2</v>
      </c>
      <c r="N275" s="4">
        <f t="shared" si="13"/>
        <v>5</v>
      </c>
      <c r="O275" s="65">
        <f t="shared" si="14"/>
        <v>115000</v>
      </c>
    </row>
    <row r="276" spans="1:15" ht="14.4" x14ac:dyDescent="0.3">
      <c r="A276" s="6">
        <v>46153</v>
      </c>
      <c r="B276" s="50" t="s">
        <v>23</v>
      </c>
      <c r="C276" s="4">
        <v>3</v>
      </c>
      <c r="D276" s="2">
        <f>VLOOKUP(B276,[1]lantai9!$B:$G,6,FALSE)</f>
        <v>11000</v>
      </c>
      <c r="E276" s="2">
        <f>VLOOKUP(B276,karyawan!B:D,3,FALSE)</f>
        <v>10000</v>
      </c>
      <c r="F276" s="2" t="str">
        <f>VLOOKUP(B276,karyawan!B:E,4,FALSE)</f>
        <v>Compliance</v>
      </c>
      <c r="G276" s="3">
        <v>8</v>
      </c>
      <c r="H276" s="3"/>
      <c r="I276" s="3">
        <v>8</v>
      </c>
      <c r="J276" s="5">
        <f t="shared" si="12"/>
        <v>3</v>
      </c>
      <c r="K276" s="41">
        <v>0</v>
      </c>
      <c r="L276" s="4">
        <v>6</v>
      </c>
      <c r="M276" s="3">
        <v>5</v>
      </c>
      <c r="N276" s="4">
        <f t="shared" si="13"/>
        <v>3</v>
      </c>
      <c r="O276" s="65">
        <f t="shared" si="14"/>
        <v>33000</v>
      </c>
    </row>
    <row r="277" spans="1:15" ht="14.4" x14ac:dyDescent="0.3">
      <c r="A277" s="6">
        <v>46153</v>
      </c>
      <c r="B277" s="50" t="s">
        <v>24</v>
      </c>
      <c r="C277" s="4">
        <v>3</v>
      </c>
      <c r="D277" s="2">
        <f>VLOOKUP(B277,[1]lantai9!$B:$G,6,FALSE)</f>
        <v>14500</v>
      </c>
      <c r="E277" s="2">
        <f>VLOOKUP(B277,karyawan!B:D,3,FALSE)</f>
        <v>13500</v>
      </c>
      <c r="F277" s="2" t="str">
        <f>VLOOKUP(B277,karyawan!B:E,4,FALSE)</f>
        <v>Compliance</v>
      </c>
      <c r="G277" s="3">
        <v>6</v>
      </c>
      <c r="H277" s="3"/>
      <c r="I277" s="3">
        <v>6</v>
      </c>
      <c r="J277" s="5">
        <f t="shared" si="12"/>
        <v>3</v>
      </c>
      <c r="K277" s="41">
        <v>0</v>
      </c>
      <c r="L277" s="4">
        <v>4</v>
      </c>
      <c r="M277" s="4">
        <v>3</v>
      </c>
      <c r="N277" s="4">
        <f t="shared" si="13"/>
        <v>3</v>
      </c>
      <c r="O277" s="65">
        <f t="shared" si="14"/>
        <v>43500</v>
      </c>
    </row>
    <row r="278" spans="1:15" ht="14.4" x14ac:dyDescent="0.3">
      <c r="A278" s="6">
        <v>46153</v>
      </c>
      <c r="B278" s="50" t="s">
        <v>15</v>
      </c>
      <c r="C278" s="4">
        <v>3</v>
      </c>
      <c r="D278" s="2">
        <f>VLOOKUP(B278,[1]lantai9!$B:$G,6,FALSE)</f>
        <v>3500</v>
      </c>
      <c r="E278" s="2">
        <f>VLOOKUP(B278,karyawan!B:D,3,FALSE)</f>
        <v>2500</v>
      </c>
      <c r="F278" s="2" t="str">
        <f>VLOOKUP(B278,karyawan!B:E,4,FALSE)</f>
        <v>Compliance</v>
      </c>
      <c r="G278" s="3">
        <v>20</v>
      </c>
      <c r="H278" s="3"/>
      <c r="I278" s="3">
        <v>20</v>
      </c>
      <c r="J278" s="5">
        <f t="shared" si="12"/>
        <v>2</v>
      </c>
      <c r="K278" s="41">
        <v>0</v>
      </c>
      <c r="L278" s="4">
        <v>18</v>
      </c>
      <c r="M278" s="4">
        <v>18</v>
      </c>
      <c r="N278" s="4">
        <f t="shared" si="13"/>
        <v>2</v>
      </c>
      <c r="O278" s="65">
        <f t="shared" si="14"/>
        <v>7000</v>
      </c>
    </row>
    <row r="279" spans="1:15" ht="14.4" x14ac:dyDescent="0.3">
      <c r="A279" s="6">
        <v>46153</v>
      </c>
      <c r="B279" s="50" t="s">
        <v>22</v>
      </c>
      <c r="C279" s="4">
        <v>3</v>
      </c>
      <c r="D279" s="2">
        <f>VLOOKUP(B279,[1]lantai9!$B:$G,6,FALSE)</f>
        <v>5500</v>
      </c>
      <c r="E279" s="2">
        <f>VLOOKUP(B279,karyawan!B:D,3,FALSE)</f>
        <v>4500</v>
      </c>
      <c r="F279" s="2" t="str">
        <f>VLOOKUP(B279,karyawan!B:E,4,FALSE)</f>
        <v>Compliance</v>
      </c>
      <c r="G279" s="3">
        <v>8</v>
      </c>
      <c r="H279" s="3"/>
      <c r="I279" s="3">
        <v>8</v>
      </c>
      <c r="J279" s="5">
        <f t="shared" si="12"/>
        <v>4</v>
      </c>
      <c r="K279" s="41">
        <v>0</v>
      </c>
      <c r="L279" s="4">
        <v>4</v>
      </c>
      <c r="M279" s="4">
        <v>4</v>
      </c>
      <c r="N279" s="4">
        <f t="shared" si="13"/>
        <v>4</v>
      </c>
      <c r="O279" s="65">
        <f t="shared" si="14"/>
        <v>22000</v>
      </c>
    </row>
    <row r="280" spans="1:15" ht="14.4" x14ac:dyDescent="0.3">
      <c r="A280" s="6">
        <v>46153</v>
      </c>
      <c r="B280" s="50" t="s">
        <v>25</v>
      </c>
      <c r="C280" s="4">
        <v>3</v>
      </c>
      <c r="D280" s="2">
        <f>VLOOKUP(B280,[1]lantai9!$B:$G,6,FALSE)</f>
        <v>9000</v>
      </c>
      <c r="E280" s="2">
        <f>VLOOKUP(B280,karyawan!B:D,3,FALSE)</f>
        <v>8000</v>
      </c>
      <c r="F280" s="2" t="str">
        <f>VLOOKUP(B280,karyawan!B:E,4,FALSE)</f>
        <v>Compliance</v>
      </c>
      <c r="G280" s="3">
        <v>3</v>
      </c>
      <c r="H280" s="3"/>
      <c r="I280" s="3">
        <v>3</v>
      </c>
      <c r="J280" s="5">
        <f t="shared" si="12"/>
        <v>2</v>
      </c>
      <c r="K280" s="41">
        <v>0</v>
      </c>
      <c r="L280" s="4">
        <v>5</v>
      </c>
      <c r="M280" s="4">
        <v>1</v>
      </c>
      <c r="N280" s="4">
        <f t="shared" si="13"/>
        <v>2</v>
      </c>
      <c r="O280" s="65">
        <f t="shared" si="14"/>
        <v>18000</v>
      </c>
    </row>
    <row r="281" spans="1:15" ht="14.4" x14ac:dyDescent="0.3">
      <c r="A281" s="6">
        <v>46153</v>
      </c>
      <c r="B281" s="49" t="s">
        <v>4</v>
      </c>
      <c r="C281" s="4">
        <v>8</v>
      </c>
      <c r="D281" s="2">
        <f>VLOOKUP(B281,[1]lantai9!$B:$G,6,FALSE)</f>
        <v>35000</v>
      </c>
      <c r="E281" s="2">
        <f>VLOOKUP(B281,karyawan!B:D,3,FALSE)</f>
        <v>34000</v>
      </c>
      <c r="F281" s="2" t="str">
        <f>VLOOKUP(B281,karyawan!B:E,4,FALSE)</f>
        <v>Florida</v>
      </c>
      <c r="G281" s="3">
        <v>5</v>
      </c>
      <c r="H281" s="3"/>
      <c r="I281" s="3">
        <v>4</v>
      </c>
      <c r="J281" s="5">
        <f t="shared" si="12"/>
        <v>1</v>
      </c>
      <c r="K281" s="41">
        <v>0</v>
      </c>
      <c r="L281" s="4">
        <v>4</v>
      </c>
      <c r="M281" s="4">
        <v>4</v>
      </c>
      <c r="N281" s="4">
        <f t="shared" si="13"/>
        <v>0</v>
      </c>
      <c r="O281" s="65">
        <f t="shared" si="14"/>
        <v>0</v>
      </c>
    </row>
    <row r="282" spans="1:15" ht="14.4" x14ac:dyDescent="0.3">
      <c r="A282" s="6">
        <v>46153</v>
      </c>
      <c r="B282" s="49" t="s">
        <v>13</v>
      </c>
      <c r="C282" s="4">
        <v>8</v>
      </c>
      <c r="D282" s="2">
        <f>VLOOKUP(B282,[1]lantai9!$B:$G,6,FALSE)</f>
        <v>23000</v>
      </c>
      <c r="E282" s="2">
        <f>VLOOKUP(B282,karyawan!B:D,3,FALSE)</f>
        <v>22000</v>
      </c>
      <c r="F282" s="2" t="str">
        <f>VLOOKUP(B282,karyawan!B:E,4,FALSE)</f>
        <v>Yohannes</v>
      </c>
      <c r="G282" s="3">
        <v>6</v>
      </c>
      <c r="H282" s="3"/>
      <c r="I282" s="3">
        <v>0</v>
      </c>
      <c r="J282" s="5">
        <f t="shared" si="12"/>
        <v>6</v>
      </c>
      <c r="K282" s="41">
        <v>0</v>
      </c>
      <c r="L282" s="4">
        <v>10</v>
      </c>
      <c r="M282" s="4">
        <v>0</v>
      </c>
      <c r="N282" s="4">
        <f t="shared" si="13"/>
        <v>0</v>
      </c>
      <c r="O282" s="65">
        <f t="shared" si="14"/>
        <v>0</v>
      </c>
    </row>
    <row r="283" spans="1:15" ht="14.4" x14ac:dyDescent="0.3">
      <c r="A283" s="6">
        <v>46153</v>
      </c>
      <c r="B283" s="49" t="s">
        <v>12</v>
      </c>
      <c r="C283" s="4">
        <v>8</v>
      </c>
      <c r="D283" s="2">
        <f>VLOOKUP(B283,[1]lantai9!$B:$G,6,FALSE)</f>
        <v>21000</v>
      </c>
      <c r="E283" s="2">
        <f>VLOOKUP(B283,karyawan!B:D,3,FALSE)</f>
        <v>20000</v>
      </c>
      <c r="F283" s="2" t="str">
        <f>VLOOKUP(B283,karyawan!B:E,4,FALSE)</f>
        <v>Damaz</v>
      </c>
      <c r="G283" s="3">
        <v>2</v>
      </c>
      <c r="H283" s="3"/>
      <c r="I283" s="3">
        <v>1</v>
      </c>
      <c r="J283" s="5">
        <f t="shared" si="12"/>
        <v>1</v>
      </c>
      <c r="K283" s="41">
        <v>0</v>
      </c>
      <c r="L283" s="4">
        <v>1</v>
      </c>
      <c r="M283" s="4">
        <v>1</v>
      </c>
      <c r="N283" s="4">
        <f t="shared" si="13"/>
        <v>0</v>
      </c>
      <c r="O283" s="65">
        <f t="shared" si="14"/>
        <v>0</v>
      </c>
    </row>
    <row r="284" spans="1:15" ht="14.4" x14ac:dyDescent="0.3">
      <c r="A284" s="6">
        <v>46153</v>
      </c>
      <c r="B284" s="49" t="s">
        <v>11</v>
      </c>
      <c r="C284" s="4">
        <v>8</v>
      </c>
      <c r="D284" s="2">
        <f>VLOOKUP(B284,[1]lantai9!$B:$G,6,FALSE)</f>
        <v>36000</v>
      </c>
      <c r="E284" s="2">
        <f>VLOOKUP(B284,karyawan!B:D,3,FALSE)</f>
        <v>35000</v>
      </c>
      <c r="F284" s="2" t="str">
        <f>VLOOKUP(B284,karyawan!B:E,4,FALSE)</f>
        <v>Damaz</v>
      </c>
      <c r="G284" s="3">
        <v>3</v>
      </c>
      <c r="H284" s="3"/>
      <c r="I284" s="3">
        <v>2</v>
      </c>
      <c r="J284" s="5">
        <f t="shared" si="12"/>
        <v>1</v>
      </c>
      <c r="K284" s="41">
        <v>0</v>
      </c>
      <c r="L284" s="4">
        <v>2</v>
      </c>
      <c r="M284" s="4">
        <v>2</v>
      </c>
      <c r="N284" s="4">
        <f t="shared" si="13"/>
        <v>0</v>
      </c>
      <c r="O284" s="65">
        <f t="shared" si="14"/>
        <v>0</v>
      </c>
    </row>
    <row r="285" spans="1:15" ht="14.4" x14ac:dyDescent="0.3">
      <c r="A285" s="6">
        <v>46153</v>
      </c>
      <c r="B285" s="49" t="s">
        <v>14</v>
      </c>
      <c r="C285" s="4">
        <v>8</v>
      </c>
      <c r="D285" s="2">
        <f>VLOOKUP(B285,[1]lantai9!$B:$G,6,FALSE)</f>
        <v>23000</v>
      </c>
      <c r="E285" s="2">
        <f>VLOOKUP(B285,karyawan!B:D,3,FALSE)</f>
        <v>22000</v>
      </c>
      <c r="F285" s="2" t="str">
        <f>VLOOKUP(B285,karyawan!B:E,4,FALSE)</f>
        <v>Vale</v>
      </c>
      <c r="G285" s="3">
        <v>5</v>
      </c>
      <c r="H285" s="3"/>
      <c r="I285" s="3">
        <v>0</v>
      </c>
      <c r="J285" s="5">
        <f t="shared" si="12"/>
        <v>5</v>
      </c>
      <c r="K285" s="41">
        <v>0</v>
      </c>
      <c r="L285" s="4">
        <v>1</v>
      </c>
      <c r="M285" s="4">
        <v>0</v>
      </c>
      <c r="N285" s="4">
        <f t="shared" si="13"/>
        <v>0</v>
      </c>
      <c r="O285" s="65">
        <f t="shared" si="14"/>
        <v>0</v>
      </c>
    </row>
    <row r="286" spans="1:15" ht="14.4" x14ac:dyDescent="0.3">
      <c r="A286" s="6">
        <v>46153</v>
      </c>
      <c r="B286" s="49" t="s">
        <v>7</v>
      </c>
      <c r="C286" s="4">
        <v>8</v>
      </c>
      <c r="D286" s="2">
        <f>VLOOKUP(B286,[1]lantai9!$B:$G,6,FALSE)</f>
        <v>15000</v>
      </c>
      <c r="E286" s="2">
        <f>VLOOKUP(B286,karyawan!B:D,3,FALSE)</f>
        <v>14000</v>
      </c>
      <c r="F286" s="2" t="str">
        <f>VLOOKUP(B286,karyawan!B:E,4,FALSE)</f>
        <v>Desy</v>
      </c>
      <c r="G286" s="3">
        <v>6</v>
      </c>
      <c r="H286" s="3"/>
      <c r="I286" s="3">
        <v>8</v>
      </c>
      <c r="J286" s="5">
        <f t="shared" si="12"/>
        <v>0</v>
      </c>
      <c r="K286" s="41">
        <v>0</v>
      </c>
      <c r="L286" s="4">
        <v>6</v>
      </c>
      <c r="M286" s="4">
        <v>6</v>
      </c>
      <c r="N286" s="4">
        <f t="shared" si="13"/>
        <v>2</v>
      </c>
      <c r="O286" s="65">
        <f t="shared" si="14"/>
        <v>30000</v>
      </c>
    </row>
    <row r="287" spans="1:15" ht="14.4" x14ac:dyDescent="0.3">
      <c r="A287" s="6">
        <v>46153</v>
      </c>
      <c r="B287" s="49" t="s">
        <v>8</v>
      </c>
      <c r="C287" s="4">
        <v>8</v>
      </c>
      <c r="D287" s="2">
        <f>VLOOKUP(B287,[1]lantai9!$B:$G,6,FALSE)</f>
        <v>18000</v>
      </c>
      <c r="E287" s="2">
        <f>VLOOKUP(B287,karyawan!B:D,3,FALSE)</f>
        <v>17000</v>
      </c>
      <c r="F287" s="2" t="str">
        <f>VLOOKUP(B287,karyawan!B:E,4,FALSE)</f>
        <v>Geby</v>
      </c>
      <c r="G287" s="3">
        <v>4</v>
      </c>
      <c r="H287" s="3"/>
      <c r="I287" s="3">
        <v>4</v>
      </c>
      <c r="J287" s="5">
        <f t="shared" si="12"/>
        <v>0</v>
      </c>
      <c r="K287" s="41">
        <v>0</v>
      </c>
      <c r="L287" s="4">
        <v>3</v>
      </c>
      <c r="M287" s="4">
        <v>4</v>
      </c>
      <c r="N287" s="4">
        <f t="shared" si="13"/>
        <v>0</v>
      </c>
      <c r="O287" s="65">
        <f t="shared" si="14"/>
        <v>0</v>
      </c>
    </row>
    <row r="288" spans="1:15" ht="14.4" x14ac:dyDescent="0.3">
      <c r="A288" s="6">
        <v>46153</v>
      </c>
      <c r="B288" s="49" t="s">
        <v>9</v>
      </c>
      <c r="C288" s="4">
        <v>8</v>
      </c>
      <c r="D288" s="2">
        <f>VLOOKUP(B288,[1]lantai9!$B:$G,6,FALSE)</f>
        <v>21000</v>
      </c>
      <c r="E288" s="2">
        <f>VLOOKUP(B288,karyawan!B:D,3,FALSE)</f>
        <v>20000</v>
      </c>
      <c r="F288" s="2" t="str">
        <f>VLOOKUP(B288,karyawan!B:E,4,FALSE)</f>
        <v>Geby</v>
      </c>
      <c r="G288" s="3">
        <v>3</v>
      </c>
      <c r="H288" s="3"/>
      <c r="I288" s="3">
        <v>4</v>
      </c>
      <c r="J288" s="5">
        <f t="shared" si="12"/>
        <v>0</v>
      </c>
      <c r="K288" s="41">
        <v>0</v>
      </c>
      <c r="L288" s="4">
        <v>3</v>
      </c>
      <c r="M288" s="4">
        <v>4</v>
      </c>
      <c r="N288" s="4">
        <f t="shared" si="13"/>
        <v>0</v>
      </c>
      <c r="O288" s="65">
        <f t="shared" si="14"/>
        <v>0</v>
      </c>
    </row>
    <row r="289" spans="1:15" ht="14.4" x14ac:dyDescent="0.3">
      <c r="A289" s="6">
        <v>46153</v>
      </c>
      <c r="B289" s="49" t="s">
        <v>20</v>
      </c>
      <c r="C289" s="4">
        <v>8</v>
      </c>
      <c r="D289" s="2">
        <f>VLOOKUP(B289,[1]lantai9!$B:$G,6,FALSE)</f>
        <v>35000</v>
      </c>
      <c r="E289" s="2">
        <f>VLOOKUP(B289,karyawan!B:D,3,FALSE)</f>
        <v>34000</v>
      </c>
      <c r="F289" s="2" t="str">
        <f>VLOOKUP(B289,karyawan!B:E,4,FALSE)</f>
        <v>Sherly</v>
      </c>
      <c r="G289" s="3">
        <v>2</v>
      </c>
      <c r="H289" s="3"/>
      <c r="I289" s="3">
        <v>2</v>
      </c>
      <c r="J289" s="5">
        <f t="shared" si="12"/>
        <v>0</v>
      </c>
      <c r="K289" s="41">
        <v>0</v>
      </c>
      <c r="L289" s="4">
        <v>2</v>
      </c>
      <c r="M289" s="4">
        <v>2</v>
      </c>
      <c r="N289" s="4">
        <f t="shared" si="13"/>
        <v>0</v>
      </c>
      <c r="O289" s="65">
        <f t="shared" si="14"/>
        <v>0</v>
      </c>
    </row>
    <row r="290" spans="1:15" ht="14.4" x14ac:dyDescent="0.3">
      <c r="A290" s="6">
        <v>46153</v>
      </c>
      <c r="B290" s="49" t="s">
        <v>21</v>
      </c>
      <c r="C290" s="4">
        <v>8</v>
      </c>
      <c r="D290" s="2">
        <f>VLOOKUP(B290,[1]lantai9!$B:$G,6,FALSE)</f>
        <v>40000</v>
      </c>
      <c r="E290" s="2">
        <f>VLOOKUP(B290,karyawan!B:D,3,FALSE)</f>
        <v>39000</v>
      </c>
      <c r="F290" s="2" t="str">
        <f>VLOOKUP(B290,karyawan!B:E,4,FALSE)</f>
        <v>Sherly</v>
      </c>
      <c r="G290" s="3">
        <v>4</v>
      </c>
      <c r="H290" s="3"/>
      <c r="I290" s="3">
        <v>4</v>
      </c>
      <c r="J290" s="5">
        <f t="shared" si="12"/>
        <v>0</v>
      </c>
      <c r="K290" s="41">
        <v>0</v>
      </c>
      <c r="L290" s="4">
        <v>4</v>
      </c>
      <c r="M290" s="4">
        <v>4</v>
      </c>
      <c r="N290" s="4">
        <f t="shared" si="13"/>
        <v>0</v>
      </c>
      <c r="O290" s="65">
        <f t="shared" si="14"/>
        <v>0</v>
      </c>
    </row>
    <row r="291" spans="1:15" ht="14.4" x14ac:dyDescent="0.3">
      <c r="A291" s="6">
        <v>46153</v>
      </c>
      <c r="B291" s="49" t="s">
        <v>19</v>
      </c>
      <c r="C291" s="4">
        <v>8</v>
      </c>
      <c r="D291" s="2">
        <f>VLOOKUP(B291,[1]lantai9!$B:$G,6,FALSE)</f>
        <v>2500</v>
      </c>
      <c r="E291" s="2">
        <f>VLOOKUP(B291,karyawan!B:D,3,FALSE)</f>
        <v>1480</v>
      </c>
      <c r="F291" s="2" t="str">
        <f>VLOOKUP(B291,karyawan!B:E,4,FALSE)</f>
        <v>Compliance</v>
      </c>
      <c r="G291" s="3">
        <v>12</v>
      </c>
      <c r="H291" s="3"/>
      <c r="I291" s="3">
        <v>4</v>
      </c>
      <c r="J291" s="5">
        <f t="shared" si="12"/>
        <v>10</v>
      </c>
      <c r="K291" s="41">
        <v>0</v>
      </c>
      <c r="L291" s="4">
        <v>2</v>
      </c>
      <c r="M291" s="4">
        <v>2</v>
      </c>
      <c r="N291" s="4">
        <f t="shared" si="13"/>
        <v>2</v>
      </c>
      <c r="O291" s="65">
        <f t="shared" si="14"/>
        <v>5000</v>
      </c>
    </row>
    <row r="292" spans="1:15" ht="14.4" x14ac:dyDescent="0.3">
      <c r="A292" s="6">
        <v>46153</v>
      </c>
      <c r="B292" s="49" t="s">
        <v>17</v>
      </c>
      <c r="C292" s="4">
        <v>8</v>
      </c>
      <c r="D292" s="2">
        <f>VLOOKUP(B292,[1]lantai9!$B:$G,6,FALSE)</f>
        <v>2000</v>
      </c>
      <c r="E292" s="2">
        <f>VLOOKUP(B292,karyawan!B:D,3,FALSE)</f>
        <v>1074</v>
      </c>
      <c r="F292" s="2" t="str">
        <f>VLOOKUP(B292,karyawan!B:E,4,FALSE)</f>
        <v>Compliance</v>
      </c>
      <c r="G292" s="3">
        <v>10</v>
      </c>
      <c r="H292" s="3"/>
      <c r="I292" s="3">
        <v>10</v>
      </c>
      <c r="J292" s="5">
        <f t="shared" si="12"/>
        <v>1</v>
      </c>
      <c r="K292" s="41">
        <v>0</v>
      </c>
      <c r="L292" s="4">
        <v>9</v>
      </c>
      <c r="M292" s="4">
        <v>9</v>
      </c>
      <c r="N292" s="4">
        <f t="shared" si="13"/>
        <v>1</v>
      </c>
      <c r="O292" s="65">
        <f t="shared" si="14"/>
        <v>2000</v>
      </c>
    </row>
    <row r="293" spans="1:15" ht="14.4" x14ac:dyDescent="0.3">
      <c r="A293" s="6">
        <v>46153</v>
      </c>
      <c r="B293" s="49" t="s">
        <v>5</v>
      </c>
      <c r="C293" s="4">
        <v>8</v>
      </c>
      <c r="D293" s="2">
        <f>VLOOKUP(B293,[1]lantai9!$B:$G,6,FALSE)</f>
        <v>2500</v>
      </c>
      <c r="E293" s="2">
        <f>VLOOKUP(B293,karyawan!B:D,3,FALSE)</f>
        <v>1465</v>
      </c>
      <c r="F293" s="2" t="str">
        <f>VLOOKUP(B293,karyawan!B:E,4,FALSE)</f>
        <v>Compliance</v>
      </c>
      <c r="G293" s="3">
        <v>10</v>
      </c>
      <c r="H293" s="3"/>
      <c r="I293" s="3">
        <v>10</v>
      </c>
      <c r="J293" s="5">
        <f t="shared" si="12"/>
        <v>10</v>
      </c>
      <c r="K293" s="41">
        <v>0</v>
      </c>
      <c r="L293" s="4">
        <v>3</v>
      </c>
      <c r="M293" s="4">
        <v>0</v>
      </c>
      <c r="N293" s="4">
        <f t="shared" si="13"/>
        <v>10</v>
      </c>
      <c r="O293" s="65">
        <f t="shared" si="14"/>
        <v>25000</v>
      </c>
    </row>
    <row r="294" spans="1:15" ht="14.4" x14ac:dyDescent="0.3">
      <c r="A294" s="6">
        <v>46153</v>
      </c>
      <c r="B294" s="49" t="s">
        <v>3</v>
      </c>
      <c r="C294" s="4">
        <v>8</v>
      </c>
      <c r="D294" s="2">
        <f>VLOOKUP(B294,[1]lantai9!$B:$G,6,FALSE)</f>
        <v>10000</v>
      </c>
      <c r="E294" s="2">
        <f>VLOOKUP(B294,karyawan!B:D,3,FALSE)</f>
        <v>9200</v>
      </c>
      <c r="F294" s="2" t="str">
        <f>VLOOKUP(B294,karyawan!B:E,4,FALSE)</f>
        <v>Compliance</v>
      </c>
      <c r="G294" s="3">
        <v>15</v>
      </c>
      <c r="H294" s="3"/>
      <c r="I294" s="3">
        <v>15</v>
      </c>
      <c r="J294" s="5">
        <f t="shared" si="12"/>
        <v>3</v>
      </c>
      <c r="K294" s="41">
        <v>0</v>
      </c>
      <c r="L294" s="4">
        <v>12</v>
      </c>
      <c r="M294" s="4">
        <v>12</v>
      </c>
      <c r="N294" s="4">
        <f t="shared" si="13"/>
        <v>3</v>
      </c>
      <c r="O294" s="65">
        <f t="shared" si="14"/>
        <v>30000</v>
      </c>
    </row>
    <row r="295" spans="1:15" ht="14.4" x14ac:dyDescent="0.3">
      <c r="A295" s="6">
        <v>46153</v>
      </c>
      <c r="B295" s="49" t="s">
        <v>18</v>
      </c>
      <c r="C295" s="4">
        <v>8</v>
      </c>
      <c r="D295" s="2">
        <f>VLOOKUP(B295,[1]lantai9!$B:$G,6,FALSE)</f>
        <v>15000</v>
      </c>
      <c r="E295" s="2">
        <f>VLOOKUP(B295,karyawan!B:D,3,FALSE)</f>
        <v>13807</v>
      </c>
      <c r="F295" s="2" t="str">
        <f>VLOOKUP(B295,karyawan!B:E,4,FALSE)</f>
        <v>Compliance</v>
      </c>
      <c r="G295" s="3">
        <v>10</v>
      </c>
      <c r="H295" s="3"/>
      <c r="I295" s="3">
        <v>10</v>
      </c>
      <c r="J295" s="5">
        <f t="shared" si="12"/>
        <v>2</v>
      </c>
      <c r="K295" s="41">
        <v>0</v>
      </c>
      <c r="L295" s="4">
        <v>9</v>
      </c>
      <c r="M295" s="4">
        <v>8</v>
      </c>
      <c r="N295" s="4">
        <f t="shared" si="13"/>
        <v>2</v>
      </c>
      <c r="O295" s="65">
        <f t="shared" si="14"/>
        <v>30000</v>
      </c>
    </row>
    <row r="296" spans="1:15" ht="14.4" x14ac:dyDescent="0.3">
      <c r="A296" s="6">
        <v>46153</v>
      </c>
      <c r="B296" s="49" t="s">
        <v>10</v>
      </c>
      <c r="C296" s="4">
        <v>8</v>
      </c>
      <c r="D296" s="2">
        <f>VLOOKUP(B296,[1]lantai9!$B:$G,6,FALSE)</f>
        <v>23000</v>
      </c>
      <c r="E296" s="2">
        <f>VLOOKUP(B296,karyawan!B:D,3,FALSE)</f>
        <v>21760</v>
      </c>
      <c r="F296" s="2" t="str">
        <f>VLOOKUP(B296,karyawan!B:E,4,FALSE)</f>
        <v>Compliance</v>
      </c>
      <c r="G296" s="3">
        <v>7</v>
      </c>
      <c r="H296" s="3"/>
      <c r="I296" s="3">
        <v>6</v>
      </c>
      <c r="J296" s="5">
        <f t="shared" si="12"/>
        <v>1</v>
      </c>
      <c r="K296" s="41">
        <v>0</v>
      </c>
      <c r="L296" s="4">
        <v>6</v>
      </c>
      <c r="M296" s="4">
        <v>6</v>
      </c>
      <c r="N296" s="4">
        <f t="shared" si="13"/>
        <v>0</v>
      </c>
      <c r="O296" s="65">
        <f t="shared" si="14"/>
        <v>0</v>
      </c>
    </row>
    <row r="297" spans="1:15" ht="14.4" x14ac:dyDescent="0.3">
      <c r="A297" s="6">
        <v>46153</v>
      </c>
      <c r="B297" s="50" t="s">
        <v>23</v>
      </c>
      <c r="C297" s="4">
        <v>8</v>
      </c>
      <c r="D297" s="2">
        <f>VLOOKUP(B297,[1]lantai9!$B:$G,6,FALSE)</f>
        <v>11000</v>
      </c>
      <c r="E297" s="2">
        <f>VLOOKUP(B297,karyawan!B:D,3,FALSE)</f>
        <v>10000</v>
      </c>
      <c r="F297" s="2" t="str">
        <f>VLOOKUP(B297,karyawan!B:E,4,FALSE)</f>
        <v>Compliance</v>
      </c>
      <c r="G297" s="3">
        <v>8</v>
      </c>
      <c r="H297" s="3"/>
      <c r="I297" s="3">
        <v>8</v>
      </c>
      <c r="J297" s="5">
        <f t="shared" si="12"/>
        <v>3</v>
      </c>
      <c r="K297" s="41">
        <v>0</v>
      </c>
      <c r="L297" s="4">
        <v>5</v>
      </c>
      <c r="M297" s="3">
        <v>5</v>
      </c>
      <c r="N297" s="4">
        <f t="shared" si="13"/>
        <v>3</v>
      </c>
      <c r="O297" s="65">
        <f t="shared" si="14"/>
        <v>33000</v>
      </c>
    </row>
    <row r="298" spans="1:15" ht="14.4" x14ac:dyDescent="0.3">
      <c r="A298" s="6">
        <v>46153</v>
      </c>
      <c r="B298" s="50" t="s">
        <v>24</v>
      </c>
      <c r="C298" s="4">
        <v>8</v>
      </c>
      <c r="D298" s="2">
        <f>VLOOKUP(B298,[1]lantai9!$B:$G,6,FALSE)</f>
        <v>14500</v>
      </c>
      <c r="E298" s="2">
        <f>VLOOKUP(B298,karyawan!B:D,3,FALSE)</f>
        <v>13500</v>
      </c>
      <c r="F298" s="2" t="str">
        <f>VLOOKUP(B298,karyawan!B:E,4,FALSE)</f>
        <v>Compliance</v>
      </c>
      <c r="G298" s="3">
        <v>6</v>
      </c>
      <c r="H298" s="3"/>
      <c r="I298" s="3">
        <v>6</v>
      </c>
      <c r="J298" s="5">
        <f t="shared" si="12"/>
        <v>0</v>
      </c>
      <c r="K298" s="41">
        <v>0</v>
      </c>
      <c r="L298" s="4">
        <v>6</v>
      </c>
      <c r="M298" s="4">
        <v>6</v>
      </c>
      <c r="N298" s="4">
        <f t="shared" si="13"/>
        <v>0</v>
      </c>
      <c r="O298" s="65">
        <f t="shared" si="14"/>
        <v>0</v>
      </c>
    </row>
    <row r="299" spans="1:15" ht="14.4" x14ac:dyDescent="0.3">
      <c r="A299" s="6">
        <v>46153</v>
      </c>
      <c r="B299" s="50" t="s">
        <v>15</v>
      </c>
      <c r="C299" s="4">
        <v>8</v>
      </c>
      <c r="D299" s="2">
        <f>VLOOKUP(B299,[1]lantai9!$B:$G,6,FALSE)</f>
        <v>3500</v>
      </c>
      <c r="E299" s="2">
        <f>VLOOKUP(B299,karyawan!B:D,3,FALSE)</f>
        <v>2500</v>
      </c>
      <c r="F299" s="2" t="str">
        <f>VLOOKUP(B299,karyawan!B:E,4,FALSE)</f>
        <v>Compliance</v>
      </c>
      <c r="G299" s="3">
        <v>20</v>
      </c>
      <c r="H299" s="3"/>
      <c r="I299" s="3">
        <v>20</v>
      </c>
      <c r="J299" s="5">
        <f t="shared" si="12"/>
        <v>2</v>
      </c>
      <c r="K299" s="41">
        <v>0</v>
      </c>
      <c r="L299" s="4">
        <v>18</v>
      </c>
      <c r="M299" s="4">
        <v>18</v>
      </c>
      <c r="N299" s="4">
        <f t="shared" si="13"/>
        <v>2</v>
      </c>
      <c r="O299" s="65">
        <f t="shared" si="14"/>
        <v>7000</v>
      </c>
    </row>
    <row r="300" spans="1:15" ht="14.4" x14ac:dyDescent="0.3">
      <c r="A300" s="6">
        <v>46153</v>
      </c>
      <c r="B300" s="50" t="s">
        <v>22</v>
      </c>
      <c r="C300" s="4">
        <v>8</v>
      </c>
      <c r="D300" s="2">
        <f>VLOOKUP(B300,[1]lantai9!$B:$G,6,FALSE)</f>
        <v>5500</v>
      </c>
      <c r="E300" s="2">
        <f>VLOOKUP(B300,karyawan!B:D,3,FALSE)</f>
        <v>4500</v>
      </c>
      <c r="F300" s="2" t="str">
        <f>VLOOKUP(B300,karyawan!B:E,4,FALSE)</f>
        <v>Compliance</v>
      </c>
      <c r="G300" s="3">
        <v>8</v>
      </c>
      <c r="H300" s="3"/>
      <c r="I300" s="3">
        <v>8</v>
      </c>
      <c r="J300" s="5">
        <f t="shared" si="12"/>
        <v>5</v>
      </c>
      <c r="K300" s="41">
        <v>0</v>
      </c>
      <c r="L300" s="4">
        <v>7</v>
      </c>
      <c r="M300" s="4">
        <v>3</v>
      </c>
      <c r="N300" s="4">
        <f t="shared" si="13"/>
        <v>5</v>
      </c>
      <c r="O300" s="65">
        <f t="shared" si="14"/>
        <v>27500</v>
      </c>
    </row>
    <row r="301" spans="1:15" ht="14.4" x14ac:dyDescent="0.3">
      <c r="A301" s="6">
        <v>46153</v>
      </c>
      <c r="B301" s="50" t="s">
        <v>25</v>
      </c>
      <c r="C301" s="4">
        <v>8</v>
      </c>
      <c r="D301" s="2">
        <f>VLOOKUP(B301,[1]lantai9!$B:$G,6,FALSE)</f>
        <v>9000</v>
      </c>
      <c r="E301" s="2">
        <f>VLOOKUP(B301,karyawan!B:D,3,FALSE)</f>
        <v>8000</v>
      </c>
      <c r="F301" s="2" t="str">
        <f>VLOOKUP(B301,karyawan!B:E,4,FALSE)</f>
        <v>Compliance</v>
      </c>
      <c r="G301" s="3">
        <v>3</v>
      </c>
      <c r="H301" s="3"/>
      <c r="I301" s="3">
        <v>3</v>
      </c>
      <c r="J301" s="5">
        <f t="shared" si="12"/>
        <v>0</v>
      </c>
      <c r="K301" s="41">
        <v>0</v>
      </c>
      <c r="L301" s="4">
        <v>6</v>
      </c>
      <c r="M301" s="4">
        <v>3</v>
      </c>
      <c r="N301" s="4">
        <f t="shared" si="13"/>
        <v>0</v>
      </c>
      <c r="O301" s="65">
        <f t="shared" si="14"/>
        <v>0</v>
      </c>
    </row>
    <row r="302" spans="1:15" ht="14.4" x14ac:dyDescent="0.3">
      <c r="A302" s="6">
        <v>46153</v>
      </c>
      <c r="B302" s="49" t="s">
        <v>4</v>
      </c>
      <c r="C302" s="4">
        <v>9</v>
      </c>
      <c r="D302" s="2">
        <f>VLOOKUP(B302,[1]lantai9!$B:$G,6,FALSE)</f>
        <v>35000</v>
      </c>
      <c r="E302" s="2">
        <f>VLOOKUP(B302,karyawan!B:D,3,FALSE)</f>
        <v>34000</v>
      </c>
      <c r="F302" s="2" t="str">
        <f>VLOOKUP(B302,karyawan!B:E,4,FALSE)</f>
        <v>Florida</v>
      </c>
      <c r="G302" s="3">
        <v>5</v>
      </c>
      <c r="H302" s="3"/>
      <c r="I302" s="4">
        <v>4</v>
      </c>
      <c r="J302" s="5">
        <f t="shared" si="12"/>
        <v>1</v>
      </c>
      <c r="K302" s="4">
        <v>0</v>
      </c>
      <c r="L302" s="4">
        <v>4</v>
      </c>
      <c r="M302" s="4">
        <v>4</v>
      </c>
      <c r="N302" s="4">
        <f t="shared" si="13"/>
        <v>0</v>
      </c>
      <c r="O302" s="65">
        <f t="shared" si="14"/>
        <v>0</v>
      </c>
    </row>
    <row r="303" spans="1:15" ht="14.4" x14ac:dyDescent="0.3">
      <c r="A303" s="6">
        <v>46153</v>
      </c>
      <c r="B303" s="49" t="s">
        <v>13</v>
      </c>
      <c r="C303" s="4">
        <v>9</v>
      </c>
      <c r="D303" s="2">
        <f>VLOOKUP(B303,[1]lantai9!$B:$G,6,FALSE)</f>
        <v>23000</v>
      </c>
      <c r="E303" s="2">
        <f>VLOOKUP(B303,karyawan!B:D,3,FALSE)</f>
        <v>22000</v>
      </c>
      <c r="F303" s="2" t="str">
        <f>VLOOKUP(B303,karyawan!B:E,4,FALSE)</f>
        <v>Yohannes</v>
      </c>
      <c r="G303" s="3">
        <v>6</v>
      </c>
      <c r="H303" s="3"/>
      <c r="I303" s="4">
        <v>2</v>
      </c>
      <c r="J303" s="5">
        <f t="shared" si="12"/>
        <v>4</v>
      </c>
      <c r="K303" s="4">
        <v>0</v>
      </c>
      <c r="L303" s="4">
        <v>2</v>
      </c>
      <c r="M303" s="4">
        <v>2</v>
      </c>
      <c r="N303" s="4">
        <f t="shared" si="13"/>
        <v>0</v>
      </c>
      <c r="O303" s="65">
        <f t="shared" si="14"/>
        <v>0</v>
      </c>
    </row>
    <row r="304" spans="1:15" ht="14.4" x14ac:dyDescent="0.3">
      <c r="A304" s="6">
        <v>46153</v>
      </c>
      <c r="B304" s="49" t="s">
        <v>12</v>
      </c>
      <c r="C304" s="4">
        <v>9</v>
      </c>
      <c r="D304" s="2">
        <f>VLOOKUP(B304,[1]lantai9!$B:$G,6,FALSE)</f>
        <v>21000</v>
      </c>
      <c r="E304" s="2">
        <f>VLOOKUP(B304,karyawan!B:D,3,FALSE)</f>
        <v>20000</v>
      </c>
      <c r="F304" s="2" t="str">
        <f>VLOOKUP(B304,karyawan!B:E,4,FALSE)</f>
        <v>Damaz</v>
      </c>
      <c r="G304" s="3">
        <v>2</v>
      </c>
      <c r="H304" s="3"/>
      <c r="I304" s="4">
        <v>0</v>
      </c>
      <c r="J304" s="5">
        <f t="shared" si="12"/>
        <v>2</v>
      </c>
      <c r="K304" s="4">
        <v>0</v>
      </c>
      <c r="L304" s="4">
        <v>0</v>
      </c>
      <c r="M304" s="4">
        <v>0</v>
      </c>
      <c r="N304" s="4">
        <f t="shared" si="13"/>
        <v>0</v>
      </c>
      <c r="O304" s="65">
        <f t="shared" si="14"/>
        <v>0</v>
      </c>
    </row>
    <row r="305" spans="1:15" ht="14.4" x14ac:dyDescent="0.3">
      <c r="A305" s="6">
        <v>46153</v>
      </c>
      <c r="B305" s="49" t="s">
        <v>11</v>
      </c>
      <c r="C305" s="4">
        <v>9</v>
      </c>
      <c r="D305" s="2">
        <f>VLOOKUP(B305,[1]lantai9!$B:$G,6,FALSE)</f>
        <v>36000</v>
      </c>
      <c r="E305" s="2">
        <f>VLOOKUP(B305,karyawan!B:D,3,FALSE)</f>
        <v>35000</v>
      </c>
      <c r="F305" s="2" t="str">
        <f>VLOOKUP(B305,karyawan!B:E,4,FALSE)</f>
        <v>Damaz</v>
      </c>
      <c r="G305" s="3">
        <v>3</v>
      </c>
      <c r="H305" s="3"/>
      <c r="I305" s="4">
        <v>0</v>
      </c>
      <c r="J305" s="5">
        <f t="shared" si="12"/>
        <v>3</v>
      </c>
      <c r="K305" s="4">
        <v>0</v>
      </c>
      <c r="L305" s="4">
        <v>0</v>
      </c>
      <c r="M305" s="4">
        <v>0</v>
      </c>
      <c r="N305" s="4">
        <f t="shared" si="13"/>
        <v>0</v>
      </c>
      <c r="O305" s="65">
        <f t="shared" si="14"/>
        <v>0</v>
      </c>
    </row>
    <row r="306" spans="1:15" ht="14.4" x14ac:dyDescent="0.3">
      <c r="A306" s="6">
        <v>46153</v>
      </c>
      <c r="B306" s="49" t="s">
        <v>14</v>
      </c>
      <c r="C306" s="4">
        <v>9</v>
      </c>
      <c r="D306" s="2">
        <f>VLOOKUP(B306,[1]lantai9!$B:$G,6,FALSE)</f>
        <v>23000</v>
      </c>
      <c r="E306" s="2">
        <f>VLOOKUP(B306,karyawan!B:D,3,FALSE)</f>
        <v>22000</v>
      </c>
      <c r="F306" s="2" t="str">
        <f>VLOOKUP(B306,karyawan!B:E,4,FALSE)</f>
        <v>Vale</v>
      </c>
      <c r="G306" s="3">
        <v>5</v>
      </c>
      <c r="H306" s="3"/>
      <c r="I306" s="4">
        <v>0</v>
      </c>
      <c r="J306" s="5">
        <f t="shared" si="12"/>
        <v>5</v>
      </c>
      <c r="K306" s="4">
        <v>0</v>
      </c>
      <c r="L306" s="4">
        <v>0</v>
      </c>
      <c r="M306" s="4">
        <v>0</v>
      </c>
      <c r="N306" s="4">
        <f t="shared" si="13"/>
        <v>0</v>
      </c>
      <c r="O306" s="65">
        <f t="shared" si="14"/>
        <v>0</v>
      </c>
    </row>
    <row r="307" spans="1:15" ht="14.4" x14ac:dyDescent="0.3">
      <c r="A307" s="6">
        <v>46153</v>
      </c>
      <c r="B307" s="49" t="s">
        <v>7</v>
      </c>
      <c r="C307" s="4">
        <v>9</v>
      </c>
      <c r="D307" s="2">
        <f>VLOOKUP(B307,[1]lantai9!$B:$G,6,FALSE)</f>
        <v>15000</v>
      </c>
      <c r="E307" s="2">
        <f>VLOOKUP(B307,karyawan!B:D,3,FALSE)</f>
        <v>14000</v>
      </c>
      <c r="F307" s="2" t="str">
        <f>VLOOKUP(B307,karyawan!B:E,4,FALSE)</f>
        <v>Desy</v>
      </c>
      <c r="G307" s="3">
        <v>6</v>
      </c>
      <c r="H307" s="3"/>
      <c r="I307" s="4">
        <v>3</v>
      </c>
      <c r="J307" s="5">
        <f t="shared" si="12"/>
        <v>6</v>
      </c>
      <c r="K307" s="4">
        <v>0</v>
      </c>
      <c r="L307" s="4">
        <v>1</v>
      </c>
      <c r="M307" s="4">
        <v>0</v>
      </c>
      <c r="N307" s="4">
        <f t="shared" si="13"/>
        <v>3</v>
      </c>
      <c r="O307" s="65">
        <f t="shared" si="14"/>
        <v>45000</v>
      </c>
    </row>
    <row r="308" spans="1:15" ht="14.4" x14ac:dyDescent="0.3">
      <c r="A308" s="6">
        <v>46153</v>
      </c>
      <c r="B308" s="49" t="s">
        <v>8</v>
      </c>
      <c r="C308" s="4">
        <v>9</v>
      </c>
      <c r="D308" s="2">
        <f>VLOOKUP(B308,[1]lantai9!$B:$G,6,FALSE)</f>
        <v>18000</v>
      </c>
      <c r="E308" s="2">
        <f>VLOOKUP(B308,karyawan!B:D,3,FALSE)</f>
        <v>17000</v>
      </c>
      <c r="F308" s="2" t="str">
        <f>VLOOKUP(B308,karyawan!B:E,4,FALSE)</f>
        <v>Geby</v>
      </c>
      <c r="G308" s="3">
        <v>4</v>
      </c>
      <c r="H308" s="3"/>
      <c r="I308" s="3">
        <v>4</v>
      </c>
      <c r="J308" s="5">
        <f t="shared" si="12"/>
        <v>4</v>
      </c>
      <c r="K308" s="41">
        <v>0</v>
      </c>
      <c r="L308" s="4">
        <v>-1</v>
      </c>
      <c r="M308" s="4">
        <v>0</v>
      </c>
      <c r="N308" s="4">
        <f t="shared" si="13"/>
        <v>4</v>
      </c>
      <c r="O308" s="65">
        <f t="shared" si="14"/>
        <v>72000</v>
      </c>
    </row>
    <row r="309" spans="1:15" ht="14.4" x14ac:dyDescent="0.3">
      <c r="A309" s="6">
        <v>46153</v>
      </c>
      <c r="B309" s="49" t="s">
        <v>9</v>
      </c>
      <c r="C309" s="4">
        <v>9</v>
      </c>
      <c r="D309" s="2">
        <f>VLOOKUP(B309,[1]lantai9!$B:$G,6,FALSE)</f>
        <v>21000</v>
      </c>
      <c r="E309" s="2">
        <f>VLOOKUP(B309,karyawan!B:D,3,FALSE)</f>
        <v>20000</v>
      </c>
      <c r="F309" s="2" t="str">
        <f>VLOOKUP(B309,karyawan!B:E,4,FALSE)</f>
        <v>Geby</v>
      </c>
      <c r="G309" s="3">
        <v>3</v>
      </c>
      <c r="H309" s="3"/>
      <c r="I309" s="3">
        <v>3</v>
      </c>
      <c r="J309" s="5">
        <f t="shared" si="12"/>
        <v>2</v>
      </c>
      <c r="K309" s="41">
        <v>0</v>
      </c>
      <c r="L309" s="4">
        <v>0</v>
      </c>
      <c r="M309" s="4">
        <v>1</v>
      </c>
      <c r="N309" s="4">
        <f t="shared" si="13"/>
        <v>2</v>
      </c>
      <c r="O309" s="65">
        <f t="shared" si="14"/>
        <v>42000</v>
      </c>
    </row>
    <row r="310" spans="1:15" ht="14.4" x14ac:dyDescent="0.3">
      <c r="A310" s="6">
        <v>46153</v>
      </c>
      <c r="B310" s="49" t="s">
        <v>20</v>
      </c>
      <c r="C310" s="4">
        <v>9</v>
      </c>
      <c r="D310" s="2">
        <f>VLOOKUP(B310,[1]lantai9!$B:$G,6,FALSE)</f>
        <v>35000</v>
      </c>
      <c r="E310" s="2">
        <f>VLOOKUP(B310,karyawan!B:D,3,FALSE)</f>
        <v>34000</v>
      </c>
      <c r="F310" s="2" t="str">
        <f>VLOOKUP(B310,karyawan!B:E,4,FALSE)</f>
        <v>Sherly</v>
      </c>
      <c r="G310" s="3">
        <v>2</v>
      </c>
      <c r="H310" s="3"/>
      <c r="I310" s="3">
        <v>2</v>
      </c>
      <c r="J310" s="5">
        <f t="shared" si="12"/>
        <v>0</v>
      </c>
      <c r="K310" s="41">
        <v>0</v>
      </c>
      <c r="L310" s="4">
        <v>0</v>
      </c>
      <c r="M310" s="4">
        <v>2</v>
      </c>
      <c r="N310" s="4">
        <f t="shared" si="13"/>
        <v>0</v>
      </c>
      <c r="O310" s="65">
        <f t="shared" si="14"/>
        <v>0</v>
      </c>
    </row>
    <row r="311" spans="1:15" ht="14.4" x14ac:dyDescent="0.3">
      <c r="A311" s="6">
        <v>46153</v>
      </c>
      <c r="B311" s="49" t="s">
        <v>21</v>
      </c>
      <c r="C311" s="4">
        <v>9</v>
      </c>
      <c r="D311" s="2">
        <f>VLOOKUP(B311,[1]lantai9!$B:$G,6,FALSE)</f>
        <v>40000</v>
      </c>
      <c r="E311" s="2">
        <f>VLOOKUP(B311,karyawan!B:D,3,FALSE)</f>
        <v>39000</v>
      </c>
      <c r="F311" s="2" t="str">
        <f>VLOOKUP(B311,karyawan!B:E,4,FALSE)</f>
        <v>Sherly</v>
      </c>
      <c r="G311" s="3">
        <v>4</v>
      </c>
      <c r="H311" s="3"/>
      <c r="I311" s="3">
        <v>4</v>
      </c>
      <c r="J311" s="5">
        <f t="shared" si="12"/>
        <v>1</v>
      </c>
      <c r="K311" s="41">
        <v>0</v>
      </c>
      <c r="L311" s="4">
        <v>4</v>
      </c>
      <c r="M311" s="4">
        <v>3</v>
      </c>
      <c r="N311" s="4">
        <f t="shared" si="13"/>
        <v>1</v>
      </c>
      <c r="O311" s="65">
        <f t="shared" si="14"/>
        <v>40000</v>
      </c>
    </row>
    <row r="312" spans="1:15" ht="14.4" x14ac:dyDescent="0.3">
      <c r="A312" s="6">
        <v>46153</v>
      </c>
      <c r="B312" s="49" t="s">
        <v>19</v>
      </c>
      <c r="C312" s="4">
        <v>9</v>
      </c>
      <c r="D312" s="2">
        <f>VLOOKUP(B312,[1]lantai9!$B:$G,6,FALSE)</f>
        <v>2500</v>
      </c>
      <c r="E312" s="2">
        <f>VLOOKUP(B312,karyawan!B:D,3,FALSE)</f>
        <v>1480</v>
      </c>
      <c r="F312" s="2" t="str">
        <f>VLOOKUP(B312,karyawan!B:E,4,FALSE)</f>
        <v>Compliance</v>
      </c>
      <c r="G312" s="3">
        <v>12</v>
      </c>
      <c r="H312" s="3"/>
      <c r="I312" s="3">
        <v>4</v>
      </c>
      <c r="J312" s="5">
        <f t="shared" si="12"/>
        <v>9</v>
      </c>
      <c r="K312" s="41">
        <v>0</v>
      </c>
      <c r="L312" s="4">
        <v>3</v>
      </c>
      <c r="M312" s="4">
        <v>3</v>
      </c>
      <c r="N312" s="4">
        <f t="shared" si="13"/>
        <v>1</v>
      </c>
      <c r="O312" s="65">
        <f t="shared" si="14"/>
        <v>2500</v>
      </c>
    </row>
    <row r="313" spans="1:15" ht="14.4" x14ac:dyDescent="0.3">
      <c r="A313" s="6">
        <v>46153</v>
      </c>
      <c r="B313" s="49" t="s">
        <v>17</v>
      </c>
      <c r="C313" s="4">
        <v>9</v>
      </c>
      <c r="D313" s="2">
        <f>VLOOKUP(B313,[1]lantai9!$B:$G,6,FALSE)</f>
        <v>2000</v>
      </c>
      <c r="E313" s="2">
        <f>VLOOKUP(B313,karyawan!B:D,3,FALSE)</f>
        <v>1074</v>
      </c>
      <c r="F313" s="2" t="str">
        <f>VLOOKUP(B313,karyawan!B:E,4,FALSE)</f>
        <v>Compliance</v>
      </c>
      <c r="G313" s="3">
        <v>10</v>
      </c>
      <c r="H313" s="3"/>
      <c r="I313" s="3">
        <v>10</v>
      </c>
      <c r="J313" s="5">
        <f t="shared" si="12"/>
        <v>6</v>
      </c>
      <c r="K313" s="41">
        <v>0</v>
      </c>
      <c r="L313" s="4">
        <v>14</v>
      </c>
      <c r="M313" s="4">
        <v>4</v>
      </c>
      <c r="N313" s="4">
        <f t="shared" si="13"/>
        <v>6</v>
      </c>
      <c r="O313" s="65">
        <f t="shared" si="14"/>
        <v>12000</v>
      </c>
    </row>
    <row r="314" spans="1:15" ht="14.4" x14ac:dyDescent="0.3">
      <c r="A314" s="6">
        <v>46153</v>
      </c>
      <c r="B314" s="49" t="s">
        <v>5</v>
      </c>
      <c r="C314" s="4">
        <v>9</v>
      </c>
      <c r="D314" s="2">
        <f>VLOOKUP(B314,[1]lantai9!$B:$G,6,FALSE)</f>
        <v>2500</v>
      </c>
      <c r="E314" s="2">
        <f>VLOOKUP(B314,karyawan!B:D,3,FALSE)</f>
        <v>1465</v>
      </c>
      <c r="F314" s="2" t="str">
        <f>VLOOKUP(B314,karyawan!B:E,4,FALSE)</f>
        <v>Compliance</v>
      </c>
      <c r="G314" s="3">
        <v>10</v>
      </c>
      <c r="H314" s="3"/>
      <c r="I314" s="3">
        <v>10</v>
      </c>
      <c r="J314" s="5">
        <f t="shared" si="12"/>
        <v>7</v>
      </c>
      <c r="K314" s="41">
        <v>0</v>
      </c>
      <c r="L314" s="4">
        <v>3</v>
      </c>
      <c r="M314" s="4">
        <v>3</v>
      </c>
      <c r="N314" s="4">
        <f t="shared" si="13"/>
        <v>7</v>
      </c>
      <c r="O314" s="65">
        <f t="shared" si="14"/>
        <v>17500</v>
      </c>
    </row>
    <row r="315" spans="1:15" ht="14.4" x14ac:dyDescent="0.3">
      <c r="A315" s="6">
        <v>46153</v>
      </c>
      <c r="B315" s="49" t="s">
        <v>3</v>
      </c>
      <c r="C315" s="4">
        <v>9</v>
      </c>
      <c r="D315" s="2">
        <f>VLOOKUP(B315,[1]lantai9!$B:$G,6,FALSE)</f>
        <v>10000</v>
      </c>
      <c r="E315" s="2">
        <f>VLOOKUP(B315,karyawan!B:D,3,FALSE)</f>
        <v>9200</v>
      </c>
      <c r="F315" s="2" t="str">
        <f>VLOOKUP(B315,karyawan!B:E,4,FALSE)</f>
        <v>Compliance</v>
      </c>
      <c r="G315" s="3">
        <v>15</v>
      </c>
      <c r="H315" s="3"/>
      <c r="I315" s="3">
        <v>15</v>
      </c>
      <c r="J315" s="5">
        <f t="shared" si="12"/>
        <v>0</v>
      </c>
      <c r="K315" s="41">
        <v>0</v>
      </c>
      <c r="L315" s="4">
        <v>15</v>
      </c>
      <c r="M315" s="4">
        <v>15</v>
      </c>
      <c r="N315" s="4">
        <f t="shared" si="13"/>
        <v>0</v>
      </c>
      <c r="O315" s="65">
        <f t="shared" si="14"/>
        <v>0</v>
      </c>
    </row>
    <row r="316" spans="1:15" ht="14.4" x14ac:dyDescent="0.3">
      <c r="A316" s="6">
        <v>46153</v>
      </c>
      <c r="B316" s="49" t="s">
        <v>18</v>
      </c>
      <c r="C316" s="4">
        <v>9</v>
      </c>
      <c r="D316" s="2">
        <f>VLOOKUP(B316,[1]lantai9!$B:$G,6,FALSE)</f>
        <v>15000</v>
      </c>
      <c r="E316" s="2">
        <f>VLOOKUP(B316,karyawan!B:D,3,FALSE)</f>
        <v>13807</v>
      </c>
      <c r="F316" s="2" t="str">
        <f>VLOOKUP(B316,karyawan!B:E,4,FALSE)</f>
        <v>Compliance</v>
      </c>
      <c r="G316" s="3">
        <v>10</v>
      </c>
      <c r="H316" s="3"/>
      <c r="I316" s="3">
        <v>10</v>
      </c>
      <c r="J316" s="5">
        <f t="shared" si="12"/>
        <v>10</v>
      </c>
      <c r="K316" s="41">
        <v>0</v>
      </c>
      <c r="L316" s="4">
        <v>1</v>
      </c>
      <c r="M316" s="4">
        <v>0</v>
      </c>
      <c r="N316" s="4">
        <f t="shared" si="13"/>
        <v>10</v>
      </c>
      <c r="O316" s="65">
        <f t="shared" si="14"/>
        <v>150000</v>
      </c>
    </row>
    <row r="317" spans="1:15" ht="14.4" x14ac:dyDescent="0.3">
      <c r="A317" s="6">
        <v>46153</v>
      </c>
      <c r="B317" s="49" t="s">
        <v>10</v>
      </c>
      <c r="C317" s="4">
        <v>9</v>
      </c>
      <c r="D317" s="2">
        <f>VLOOKUP(B317,[1]lantai9!$B:$G,6,FALSE)</f>
        <v>23000</v>
      </c>
      <c r="E317" s="2">
        <f>VLOOKUP(B317,karyawan!B:D,3,FALSE)</f>
        <v>21760</v>
      </c>
      <c r="F317" s="2" t="str">
        <f>VLOOKUP(B317,karyawan!B:E,4,FALSE)</f>
        <v>Compliance</v>
      </c>
      <c r="G317" s="3">
        <v>7</v>
      </c>
      <c r="H317" s="3"/>
      <c r="I317" s="3">
        <v>4</v>
      </c>
      <c r="J317" s="5">
        <f t="shared" si="12"/>
        <v>5</v>
      </c>
      <c r="K317" s="41">
        <v>0</v>
      </c>
      <c r="L317" s="4">
        <v>2</v>
      </c>
      <c r="M317" s="4">
        <v>2</v>
      </c>
      <c r="N317" s="4">
        <f t="shared" si="13"/>
        <v>2</v>
      </c>
      <c r="O317" s="65">
        <f t="shared" si="14"/>
        <v>46000</v>
      </c>
    </row>
    <row r="318" spans="1:15" ht="14.4" x14ac:dyDescent="0.3">
      <c r="A318" s="6">
        <v>46153</v>
      </c>
      <c r="B318" s="50" t="s">
        <v>23</v>
      </c>
      <c r="C318" s="4">
        <v>9</v>
      </c>
      <c r="D318" s="2">
        <f>VLOOKUP(B318,[1]lantai9!$B:$G,6,FALSE)</f>
        <v>11000</v>
      </c>
      <c r="E318" s="2">
        <f>VLOOKUP(B318,karyawan!B:D,3,FALSE)</f>
        <v>10000</v>
      </c>
      <c r="F318" s="2" t="str">
        <f>VLOOKUP(B318,karyawan!B:E,4,FALSE)</f>
        <v>Compliance</v>
      </c>
      <c r="G318" s="3">
        <v>8</v>
      </c>
      <c r="H318" s="3"/>
      <c r="I318" s="3">
        <v>8</v>
      </c>
      <c r="J318" s="5">
        <f t="shared" si="12"/>
        <v>3</v>
      </c>
      <c r="K318" s="41">
        <v>0</v>
      </c>
      <c r="L318" s="4">
        <v>6</v>
      </c>
      <c r="M318" s="3">
        <v>5</v>
      </c>
      <c r="N318" s="4">
        <f t="shared" si="13"/>
        <v>3</v>
      </c>
      <c r="O318" s="65">
        <f t="shared" si="14"/>
        <v>33000</v>
      </c>
    </row>
    <row r="319" spans="1:15" ht="14.4" x14ac:dyDescent="0.3">
      <c r="A319" s="6">
        <v>46153</v>
      </c>
      <c r="B319" s="50" t="s">
        <v>24</v>
      </c>
      <c r="C319" s="4">
        <v>9</v>
      </c>
      <c r="D319" s="2">
        <f>VLOOKUP(B319,[1]lantai9!$B:$G,6,FALSE)</f>
        <v>14500</v>
      </c>
      <c r="E319" s="2">
        <f>VLOOKUP(B319,karyawan!B:D,3,FALSE)</f>
        <v>13500</v>
      </c>
      <c r="F319" s="2" t="str">
        <f>VLOOKUP(B319,karyawan!B:E,4,FALSE)</f>
        <v>Compliance</v>
      </c>
      <c r="G319" s="3">
        <v>6</v>
      </c>
      <c r="H319" s="3"/>
      <c r="I319" s="3">
        <v>6</v>
      </c>
      <c r="J319" s="5">
        <f t="shared" si="12"/>
        <v>3</v>
      </c>
      <c r="K319" s="41">
        <v>0</v>
      </c>
      <c r="L319" s="4">
        <v>4</v>
      </c>
      <c r="M319" s="4">
        <v>3</v>
      </c>
      <c r="N319" s="4">
        <f t="shared" si="13"/>
        <v>3</v>
      </c>
      <c r="O319" s="65">
        <f t="shared" si="14"/>
        <v>43500</v>
      </c>
    </row>
    <row r="320" spans="1:15" ht="14.4" x14ac:dyDescent="0.3">
      <c r="A320" s="6">
        <v>46153</v>
      </c>
      <c r="B320" s="50" t="s">
        <v>15</v>
      </c>
      <c r="C320" s="4">
        <v>9</v>
      </c>
      <c r="D320" s="2">
        <f>VLOOKUP(B320,[1]lantai9!$B:$G,6,FALSE)</f>
        <v>3500</v>
      </c>
      <c r="E320" s="2">
        <f>VLOOKUP(B320,karyawan!B:D,3,FALSE)</f>
        <v>2500</v>
      </c>
      <c r="F320" s="2" t="str">
        <f>VLOOKUP(B320,karyawan!B:E,4,FALSE)</f>
        <v>Compliance</v>
      </c>
      <c r="G320" s="3">
        <v>20</v>
      </c>
      <c r="H320" s="3"/>
      <c r="I320" s="3">
        <v>20</v>
      </c>
      <c r="J320" s="5">
        <f t="shared" si="12"/>
        <v>2</v>
      </c>
      <c r="K320" s="41">
        <v>0</v>
      </c>
      <c r="L320" s="4">
        <v>18</v>
      </c>
      <c r="M320" s="4">
        <v>18</v>
      </c>
      <c r="N320" s="4">
        <f t="shared" si="13"/>
        <v>2</v>
      </c>
      <c r="O320" s="65">
        <f t="shared" si="14"/>
        <v>7000</v>
      </c>
    </row>
    <row r="321" spans="1:15" ht="14.4" x14ac:dyDescent="0.3">
      <c r="A321" s="6">
        <v>46153</v>
      </c>
      <c r="B321" s="50" t="s">
        <v>22</v>
      </c>
      <c r="C321" s="4">
        <v>9</v>
      </c>
      <c r="D321" s="2">
        <f>VLOOKUP(B321,[1]lantai9!$B:$G,6,FALSE)</f>
        <v>5500</v>
      </c>
      <c r="E321" s="2">
        <f>VLOOKUP(B321,karyawan!B:D,3,FALSE)</f>
        <v>4500</v>
      </c>
      <c r="F321" s="2" t="str">
        <f>VLOOKUP(B321,karyawan!B:E,4,FALSE)</f>
        <v>Compliance</v>
      </c>
      <c r="G321" s="3">
        <v>8</v>
      </c>
      <c r="H321" s="3"/>
      <c r="I321" s="3">
        <v>8</v>
      </c>
      <c r="J321" s="5">
        <f t="shared" si="12"/>
        <v>4</v>
      </c>
      <c r="K321" s="41">
        <v>0</v>
      </c>
      <c r="L321" s="4">
        <v>4</v>
      </c>
      <c r="M321" s="4">
        <v>4</v>
      </c>
      <c r="N321" s="4">
        <f t="shared" si="13"/>
        <v>4</v>
      </c>
      <c r="O321" s="65">
        <f t="shared" si="14"/>
        <v>22000</v>
      </c>
    </row>
    <row r="322" spans="1:15" ht="14.4" x14ac:dyDescent="0.3">
      <c r="A322" s="6">
        <v>46153</v>
      </c>
      <c r="B322" s="50" t="s">
        <v>25</v>
      </c>
      <c r="C322" s="4">
        <v>9</v>
      </c>
      <c r="D322" s="2">
        <f>VLOOKUP(B322,[1]lantai9!$B:$G,6,FALSE)</f>
        <v>9000</v>
      </c>
      <c r="E322" s="2">
        <f>VLOOKUP(B322,karyawan!B:D,3,FALSE)</f>
        <v>8000</v>
      </c>
      <c r="F322" s="2" t="str">
        <f>VLOOKUP(B322,karyawan!B:E,4,FALSE)</f>
        <v>Compliance</v>
      </c>
      <c r="G322" s="3">
        <v>3</v>
      </c>
      <c r="H322" s="42"/>
      <c r="I322" s="3">
        <v>3</v>
      </c>
      <c r="J322" s="5">
        <f t="shared" si="12"/>
        <v>2</v>
      </c>
      <c r="K322" s="41">
        <v>0</v>
      </c>
      <c r="L322" s="4">
        <v>5</v>
      </c>
      <c r="M322" s="4">
        <v>1</v>
      </c>
      <c r="N322" s="4">
        <f t="shared" ref="N322:N385" si="15">MAX($I322-$M322,0)</f>
        <v>2</v>
      </c>
      <c r="O322" s="65">
        <f t="shared" ref="O322:O385" si="16">N322*D322</f>
        <v>18000</v>
      </c>
    </row>
    <row r="323" spans="1:15" ht="20.25" customHeight="1" x14ac:dyDescent="0.3">
      <c r="A323" s="6">
        <v>46154</v>
      </c>
      <c r="B323" s="49" t="s">
        <v>4</v>
      </c>
      <c r="C323" s="4">
        <v>3</v>
      </c>
      <c r="D323" s="2">
        <f>VLOOKUP(B323,[1]lantai9!$B:$G,6,FALSE)</f>
        <v>35000</v>
      </c>
      <c r="E323" s="2">
        <f>VLOOKUP(B323,karyawan!B:D,3,FALSE)</f>
        <v>34000</v>
      </c>
      <c r="F323" s="2" t="str">
        <f>VLOOKUP(B323,karyawan!B:E,4,FALSE)</f>
        <v>Florida</v>
      </c>
      <c r="G323" s="3">
        <v>5</v>
      </c>
      <c r="H323" s="66">
        <f>IFERROR(Inventory!$D23,"0")</f>
        <v>0</v>
      </c>
      <c r="I323" s="4">
        <v>4</v>
      </c>
      <c r="J323" s="5">
        <f t="shared" ref="J323:J354" si="17">IF(H323&gt;MAX(G323-M323,0),MAX(G323-M323,0),H323)</f>
        <v>0</v>
      </c>
      <c r="K323" s="4">
        <v>0</v>
      </c>
      <c r="L323" s="48">
        <v>1</v>
      </c>
      <c r="M323" s="4">
        <v>0</v>
      </c>
      <c r="N323" s="4">
        <f t="shared" si="15"/>
        <v>4</v>
      </c>
      <c r="O323" s="65">
        <f t="shared" si="16"/>
        <v>140000</v>
      </c>
    </row>
    <row r="324" spans="1:15" ht="14.4" x14ac:dyDescent="0.3">
      <c r="A324" s="6">
        <v>46154</v>
      </c>
      <c r="B324" s="49" t="s">
        <v>13</v>
      </c>
      <c r="C324" s="3">
        <v>3</v>
      </c>
      <c r="D324" s="2">
        <f>VLOOKUP(B324,[1]lantai9!$B:$G,6,FALSE)</f>
        <v>23000</v>
      </c>
      <c r="E324" s="2">
        <f>VLOOKUP(B324,karyawan!B:D,3,FALSE)</f>
        <v>22000</v>
      </c>
      <c r="F324" s="2" t="str">
        <f>VLOOKUP(B324,karyawan!B:E,4,FALSE)</f>
        <v>Yohannes</v>
      </c>
      <c r="G324" s="3">
        <v>6</v>
      </c>
      <c r="H324" s="66">
        <f>IFERROR(Inventory!$D24,"0")</f>
        <v>40</v>
      </c>
      <c r="I324" s="4">
        <v>6</v>
      </c>
      <c r="J324" s="5">
        <f t="shared" si="17"/>
        <v>6</v>
      </c>
      <c r="K324" s="4">
        <v>0</v>
      </c>
      <c r="L324" s="48">
        <v>9</v>
      </c>
      <c r="M324" s="4">
        <v>0</v>
      </c>
      <c r="N324" s="4">
        <f t="shared" si="15"/>
        <v>6</v>
      </c>
      <c r="O324" s="65">
        <f t="shared" si="16"/>
        <v>138000</v>
      </c>
    </row>
    <row r="325" spans="1:15" ht="14.4" x14ac:dyDescent="0.3">
      <c r="A325" s="6">
        <v>46154</v>
      </c>
      <c r="B325" s="49" t="s">
        <v>12</v>
      </c>
      <c r="C325" s="4">
        <v>3</v>
      </c>
      <c r="D325" s="2">
        <f>VLOOKUP(B325,[1]lantai9!$B:$G,6,FALSE)</f>
        <v>21000</v>
      </c>
      <c r="E325" s="2">
        <f>VLOOKUP(B325,karyawan!B:D,3,FALSE)</f>
        <v>20000</v>
      </c>
      <c r="F325" s="2" t="str">
        <f>VLOOKUP(B325,karyawan!B:E,4,FALSE)</f>
        <v>Damaz</v>
      </c>
      <c r="G325" s="3">
        <v>2</v>
      </c>
      <c r="H325" s="66">
        <f>IFERROR(Inventory!$D25,"0")</f>
        <v>0</v>
      </c>
      <c r="I325" s="4">
        <v>0</v>
      </c>
      <c r="J325" s="5">
        <f t="shared" si="17"/>
        <v>0</v>
      </c>
      <c r="K325" s="4">
        <v>0</v>
      </c>
      <c r="L325" s="48">
        <v>-1</v>
      </c>
      <c r="M325" s="4">
        <v>1</v>
      </c>
      <c r="N325" s="4">
        <f t="shared" si="15"/>
        <v>0</v>
      </c>
      <c r="O325" s="65">
        <f t="shared" si="16"/>
        <v>0</v>
      </c>
    </row>
    <row r="326" spans="1:15" ht="14.4" x14ac:dyDescent="0.3">
      <c r="A326" s="6">
        <v>46154</v>
      </c>
      <c r="B326" s="49" t="s">
        <v>11</v>
      </c>
      <c r="C326" s="4">
        <v>3</v>
      </c>
      <c r="D326" s="2">
        <f>VLOOKUP(B326,[1]lantai9!$B:$G,6,FALSE)</f>
        <v>36000</v>
      </c>
      <c r="E326" s="2">
        <f>VLOOKUP(B326,karyawan!B:D,3,FALSE)</f>
        <v>35000</v>
      </c>
      <c r="F326" s="2" t="str">
        <f>VLOOKUP(B326,karyawan!B:E,4,FALSE)</f>
        <v>Damaz</v>
      </c>
      <c r="G326" s="3">
        <v>3</v>
      </c>
      <c r="H326" s="66">
        <f>IFERROR(Inventory!$D26,"0")</f>
        <v>0</v>
      </c>
      <c r="I326" s="4">
        <v>0</v>
      </c>
      <c r="J326" s="5">
        <f t="shared" si="17"/>
        <v>0</v>
      </c>
      <c r="K326" s="4">
        <v>0</v>
      </c>
      <c r="L326" s="48">
        <v>2</v>
      </c>
      <c r="M326" s="4">
        <v>2</v>
      </c>
      <c r="N326" s="4">
        <f t="shared" si="15"/>
        <v>0</v>
      </c>
      <c r="O326" s="65">
        <f t="shared" si="16"/>
        <v>0</v>
      </c>
    </row>
    <row r="327" spans="1:15" ht="14.4" x14ac:dyDescent="0.3">
      <c r="A327" s="6">
        <v>46154</v>
      </c>
      <c r="B327" s="49" t="s">
        <v>14</v>
      </c>
      <c r="C327" s="4">
        <v>3</v>
      </c>
      <c r="D327" s="2">
        <f>VLOOKUP(B327,[1]lantai9!$B:$G,6,FALSE)</f>
        <v>23000</v>
      </c>
      <c r="E327" s="2">
        <f>VLOOKUP(B327,karyawan!B:D,3,FALSE)</f>
        <v>22000</v>
      </c>
      <c r="F327" s="2" t="str">
        <f>VLOOKUP(B327,karyawan!B:E,4,FALSE)</f>
        <v>Vale</v>
      </c>
      <c r="G327" s="3">
        <v>5</v>
      </c>
      <c r="H327" s="66">
        <f>IFERROR(Inventory!$D27,"0")</f>
        <v>0</v>
      </c>
      <c r="I327" s="4">
        <v>3</v>
      </c>
      <c r="J327" s="5">
        <f t="shared" si="17"/>
        <v>0</v>
      </c>
      <c r="K327" s="4">
        <v>0</v>
      </c>
      <c r="L327" s="48">
        <v>2</v>
      </c>
      <c r="M327" s="4">
        <v>0</v>
      </c>
      <c r="N327" s="4">
        <f t="shared" si="15"/>
        <v>3</v>
      </c>
      <c r="O327" s="65">
        <f t="shared" si="16"/>
        <v>69000</v>
      </c>
    </row>
    <row r="328" spans="1:15" ht="14.4" x14ac:dyDescent="0.3">
      <c r="A328" s="6">
        <v>46154</v>
      </c>
      <c r="B328" s="49" t="s">
        <v>7</v>
      </c>
      <c r="C328" s="4">
        <v>3</v>
      </c>
      <c r="D328" s="2">
        <f>VLOOKUP(B328,[1]lantai9!$B:$G,6,FALSE)</f>
        <v>15000</v>
      </c>
      <c r="E328" s="2">
        <f>VLOOKUP(B328,karyawan!B:D,3,FALSE)</f>
        <v>14000</v>
      </c>
      <c r="F328" s="2" t="str">
        <f>VLOOKUP(B328,karyawan!B:E,4,FALSE)</f>
        <v>Desy</v>
      </c>
      <c r="G328" s="3">
        <v>6</v>
      </c>
      <c r="H328" s="66">
        <f>IFERROR(Inventory!$D28,"0")</f>
        <v>15</v>
      </c>
      <c r="I328" s="4">
        <v>0</v>
      </c>
      <c r="J328" s="5">
        <f t="shared" si="17"/>
        <v>6</v>
      </c>
      <c r="K328" s="4">
        <v>0</v>
      </c>
      <c r="L328" s="48">
        <v>1</v>
      </c>
      <c r="M328" s="4">
        <v>0</v>
      </c>
      <c r="N328" s="4">
        <f t="shared" si="15"/>
        <v>0</v>
      </c>
      <c r="O328" s="65">
        <f t="shared" si="16"/>
        <v>0</v>
      </c>
    </row>
    <row r="329" spans="1:15" ht="14.4" x14ac:dyDescent="0.3">
      <c r="A329" s="6">
        <v>46154</v>
      </c>
      <c r="B329" s="49" t="s">
        <v>8</v>
      </c>
      <c r="C329" s="4">
        <v>3</v>
      </c>
      <c r="D329" s="2">
        <f>VLOOKUP(B329,[1]lantai9!$B:$G,6,FALSE)</f>
        <v>18000</v>
      </c>
      <c r="E329" s="2">
        <f>VLOOKUP(B329,karyawan!B:D,3,FALSE)</f>
        <v>17000</v>
      </c>
      <c r="F329" s="2" t="str">
        <f>VLOOKUP(B329,karyawan!B:E,4,FALSE)</f>
        <v>Geby</v>
      </c>
      <c r="G329" s="3">
        <v>4</v>
      </c>
      <c r="H329" s="66">
        <f>IFERROR(Inventory!$D29,"0")</f>
        <v>0</v>
      </c>
      <c r="I329" s="4">
        <v>0</v>
      </c>
      <c r="J329" s="5">
        <f t="shared" si="17"/>
        <v>0</v>
      </c>
      <c r="K329" s="4">
        <v>0</v>
      </c>
      <c r="L329" s="48">
        <v>1</v>
      </c>
      <c r="M329" s="4">
        <v>2</v>
      </c>
      <c r="N329" s="4">
        <f t="shared" si="15"/>
        <v>0</v>
      </c>
      <c r="O329" s="65">
        <f t="shared" si="16"/>
        <v>0</v>
      </c>
    </row>
    <row r="330" spans="1:15" ht="14.4" x14ac:dyDescent="0.3">
      <c r="A330" s="6">
        <v>46154</v>
      </c>
      <c r="B330" s="49" t="s">
        <v>9</v>
      </c>
      <c r="C330" s="4">
        <v>3</v>
      </c>
      <c r="D330" s="2">
        <f>VLOOKUP(B330,[1]lantai9!$B:$G,6,FALSE)</f>
        <v>21000</v>
      </c>
      <c r="E330" s="2">
        <f>VLOOKUP(B330,karyawan!B:D,3,FALSE)</f>
        <v>20000</v>
      </c>
      <c r="F330" s="2" t="str">
        <f>VLOOKUP(B330,karyawan!B:E,4,FALSE)</f>
        <v>Geby</v>
      </c>
      <c r="G330" s="3">
        <v>3</v>
      </c>
      <c r="H330" s="66">
        <f>IFERROR(Inventory!$D30,"0")</f>
        <v>0</v>
      </c>
      <c r="I330" s="4">
        <v>1</v>
      </c>
      <c r="J330" s="5">
        <f t="shared" si="17"/>
        <v>0</v>
      </c>
      <c r="K330" s="4">
        <v>0</v>
      </c>
      <c r="L330" s="48">
        <v>0</v>
      </c>
      <c r="M330" s="4">
        <v>0</v>
      </c>
      <c r="N330" s="4">
        <f t="shared" si="15"/>
        <v>1</v>
      </c>
      <c r="O330" s="65">
        <f t="shared" si="16"/>
        <v>21000</v>
      </c>
    </row>
    <row r="331" spans="1:15" ht="14.4" x14ac:dyDescent="0.3">
      <c r="A331" s="6">
        <v>46154</v>
      </c>
      <c r="B331" s="49" t="s">
        <v>20</v>
      </c>
      <c r="C331" s="4">
        <v>3</v>
      </c>
      <c r="D331" s="2">
        <f>VLOOKUP(B331,[1]lantai9!$B:$G,6,FALSE)</f>
        <v>35000</v>
      </c>
      <c r="E331" s="2">
        <f>VLOOKUP(B331,karyawan!B:D,3,FALSE)</f>
        <v>34000</v>
      </c>
      <c r="F331" s="2" t="str">
        <f>VLOOKUP(B331,karyawan!B:E,4,FALSE)</f>
        <v>Sherly</v>
      </c>
      <c r="G331" s="3">
        <v>2</v>
      </c>
      <c r="H331" s="66">
        <f>IFERROR(Inventory!$D31,"0")</f>
        <v>15</v>
      </c>
      <c r="I331" s="4">
        <v>2</v>
      </c>
      <c r="J331" s="5">
        <f t="shared" si="17"/>
        <v>1</v>
      </c>
      <c r="K331" s="4">
        <v>0</v>
      </c>
      <c r="L331" s="48">
        <v>2</v>
      </c>
      <c r="M331" s="4">
        <v>1</v>
      </c>
      <c r="N331" s="4">
        <f t="shared" si="15"/>
        <v>1</v>
      </c>
      <c r="O331" s="65">
        <f t="shared" si="16"/>
        <v>35000</v>
      </c>
    </row>
    <row r="332" spans="1:15" ht="14.4" x14ac:dyDescent="0.3">
      <c r="A332" s="6">
        <v>46154</v>
      </c>
      <c r="B332" s="49" t="s">
        <v>21</v>
      </c>
      <c r="C332" s="4">
        <v>3</v>
      </c>
      <c r="D332" s="2">
        <f>VLOOKUP(B332,[1]lantai9!$B:$G,6,FALSE)</f>
        <v>40000</v>
      </c>
      <c r="E332" s="2">
        <f>VLOOKUP(B332,karyawan!B:D,3,FALSE)</f>
        <v>39000</v>
      </c>
      <c r="F332" s="2" t="str">
        <f>VLOOKUP(B332,karyawan!B:E,4,FALSE)</f>
        <v>Sherly</v>
      </c>
      <c r="G332" s="3">
        <v>4</v>
      </c>
      <c r="H332" s="66">
        <f>IFERROR(Inventory!$D32,"0")</f>
        <v>21</v>
      </c>
      <c r="I332" s="4">
        <v>4</v>
      </c>
      <c r="J332" s="5">
        <f t="shared" si="17"/>
        <v>2</v>
      </c>
      <c r="K332" s="4">
        <v>0</v>
      </c>
      <c r="L332" s="48">
        <v>3</v>
      </c>
      <c r="M332" s="4">
        <v>2</v>
      </c>
      <c r="N332" s="4">
        <f t="shared" si="15"/>
        <v>2</v>
      </c>
      <c r="O332" s="65">
        <f t="shared" si="16"/>
        <v>80000</v>
      </c>
    </row>
    <row r="333" spans="1:15" ht="14.4" x14ac:dyDescent="0.3">
      <c r="A333" s="6">
        <v>46154</v>
      </c>
      <c r="B333" s="49" t="s">
        <v>19</v>
      </c>
      <c r="C333" s="4">
        <v>3</v>
      </c>
      <c r="D333" s="2">
        <f>VLOOKUP(B333,[1]lantai9!$B:$G,6,FALSE)</f>
        <v>2500</v>
      </c>
      <c r="E333" s="2">
        <f>VLOOKUP(B333,karyawan!B:D,3,FALSE)</f>
        <v>1480</v>
      </c>
      <c r="F333" s="2" t="str">
        <f>VLOOKUP(B333,karyawan!B:E,4,FALSE)</f>
        <v>Compliance</v>
      </c>
      <c r="G333" s="3">
        <v>12</v>
      </c>
      <c r="H333" s="66">
        <f>IFERROR(Inventory!$D33,"0")</f>
        <v>0</v>
      </c>
      <c r="I333" s="4">
        <v>3</v>
      </c>
      <c r="J333" s="5">
        <f t="shared" si="17"/>
        <v>0</v>
      </c>
      <c r="K333" s="4">
        <v>0</v>
      </c>
      <c r="L333" s="48">
        <v>3</v>
      </c>
      <c r="M333" s="4">
        <v>3</v>
      </c>
      <c r="N333" s="4">
        <f t="shared" si="15"/>
        <v>0</v>
      </c>
      <c r="O333" s="65">
        <f t="shared" si="16"/>
        <v>0</v>
      </c>
    </row>
    <row r="334" spans="1:15" ht="14.4" x14ac:dyDescent="0.3">
      <c r="A334" s="6">
        <v>46154</v>
      </c>
      <c r="B334" s="49" t="s">
        <v>17</v>
      </c>
      <c r="C334" s="4">
        <v>3</v>
      </c>
      <c r="D334" s="2">
        <f>VLOOKUP(B334,[1]lantai9!$B:$G,6,FALSE)</f>
        <v>2000</v>
      </c>
      <c r="E334" s="2">
        <f>VLOOKUP(B334,karyawan!B:D,3,FALSE)</f>
        <v>1074</v>
      </c>
      <c r="F334" s="2" t="str">
        <f>VLOOKUP(B334,karyawan!B:E,4,FALSE)</f>
        <v>Compliance</v>
      </c>
      <c r="G334" s="3">
        <v>10</v>
      </c>
      <c r="H334" s="66">
        <f>IFERROR(Inventory!$D34,"0")</f>
        <v>77</v>
      </c>
      <c r="I334" s="4">
        <v>10</v>
      </c>
      <c r="J334" s="5">
        <f t="shared" si="17"/>
        <v>10</v>
      </c>
      <c r="K334" s="4">
        <v>0</v>
      </c>
      <c r="L334" s="48">
        <v>4</v>
      </c>
      <c r="M334" s="4">
        <v>0</v>
      </c>
      <c r="N334" s="4">
        <f t="shared" si="15"/>
        <v>10</v>
      </c>
      <c r="O334" s="65">
        <f t="shared" si="16"/>
        <v>20000</v>
      </c>
    </row>
    <row r="335" spans="1:15" ht="14.4" x14ac:dyDescent="0.3">
      <c r="A335" s="6">
        <v>46154</v>
      </c>
      <c r="B335" s="49" t="s">
        <v>5</v>
      </c>
      <c r="C335" s="4">
        <v>3</v>
      </c>
      <c r="D335" s="2">
        <f>VLOOKUP(B335,[1]lantai9!$B:$G,6,FALSE)</f>
        <v>2500</v>
      </c>
      <c r="E335" s="2">
        <f>VLOOKUP(B335,karyawan!B:D,3,FALSE)</f>
        <v>1465</v>
      </c>
      <c r="F335" s="2" t="str">
        <f>VLOOKUP(B335,karyawan!B:E,4,FALSE)</f>
        <v>Compliance</v>
      </c>
      <c r="G335" s="3">
        <v>10</v>
      </c>
      <c r="H335" s="66">
        <f>IFERROR(Inventory!$D35,"0")</f>
        <v>65</v>
      </c>
      <c r="I335" s="4">
        <v>10</v>
      </c>
      <c r="J335" s="5">
        <f t="shared" si="17"/>
        <v>4</v>
      </c>
      <c r="K335" s="4">
        <v>0</v>
      </c>
      <c r="L335" s="48">
        <v>8</v>
      </c>
      <c r="M335" s="4">
        <v>6</v>
      </c>
      <c r="N335" s="4">
        <f t="shared" si="15"/>
        <v>4</v>
      </c>
      <c r="O335" s="65">
        <f t="shared" si="16"/>
        <v>10000</v>
      </c>
    </row>
    <row r="336" spans="1:15" ht="14.4" x14ac:dyDescent="0.3">
      <c r="A336" s="6">
        <v>46154</v>
      </c>
      <c r="B336" s="49" t="s">
        <v>3</v>
      </c>
      <c r="C336" s="4">
        <v>3</v>
      </c>
      <c r="D336" s="2">
        <f>VLOOKUP(B336,[1]lantai9!$B:$G,6,FALSE)</f>
        <v>10000</v>
      </c>
      <c r="E336" s="2">
        <f>VLOOKUP(B336,karyawan!B:D,3,FALSE)</f>
        <v>9200</v>
      </c>
      <c r="F336" s="2" t="str">
        <f>VLOOKUP(B336,karyawan!B:E,4,FALSE)</f>
        <v>Compliance</v>
      </c>
      <c r="G336" s="3">
        <v>15</v>
      </c>
      <c r="H336" s="66">
        <f>IFERROR(Inventory!$D36,"0")</f>
        <v>3</v>
      </c>
      <c r="I336" s="4">
        <v>15</v>
      </c>
      <c r="J336" s="5">
        <f t="shared" si="17"/>
        <v>3</v>
      </c>
      <c r="K336" s="4">
        <v>0</v>
      </c>
      <c r="L336" s="48">
        <v>12</v>
      </c>
      <c r="M336" s="4">
        <v>12</v>
      </c>
      <c r="N336" s="4">
        <f t="shared" si="15"/>
        <v>3</v>
      </c>
      <c r="O336" s="65">
        <f t="shared" si="16"/>
        <v>30000</v>
      </c>
    </row>
    <row r="337" spans="1:15" ht="14.4" x14ac:dyDescent="0.3">
      <c r="A337" s="6">
        <v>46154</v>
      </c>
      <c r="B337" s="49" t="s">
        <v>18</v>
      </c>
      <c r="C337" s="4">
        <v>3</v>
      </c>
      <c r="D337" s="2">
        <f>VLOOKUP(B337,[1]lantai9!$B:$G,6,FALSE)</f>
        <v>15000</v>
      </c>
      <c r="E337" s="2">
        <f>VLOOKUP(B337,karyawan!B:D,3,FALSE)</f>
        <v>13807</v>
      </c>
      <c r="F337" s="2" t="str">
        <f>VLOOKUP(B337,karyawan!B:E,4,FALSE)</f>
        <v>Compliance</v>
      </c>
      <c r="G337" s="3">
        <v>10</v>
      </c>
      <c r="H337" s="66">
        <f>IFERROR(Inventory!$D37,"0")</f>
        <v>11</v>
      </c>
      <c r="I337" s="4">
        <v>6</v>
      </c>
      <c r="J337" s="5">
        <f t="shared" si="17"/>
        <v>4</v>
      </c>
      <c r="K337" s="4">
        <v>0</v>
      </c>
      <c r="L337" s="48">
        <v>8</v>
      </c>
      <c r="M337" s="4">
        <v>6</v>
      </c>
      <c r="N337" s="4">
        <f t="shared" si="15"/>
        <v>0</v>
      </c>
      <c r="O337" s="65">
        <f t="shared" si="16"/>
        <v>0</v>
      </c>
    </row>
    <row r="338" spans="1:15" ht="14.4" x14ac:dyDescent="0.3">
      <c r="A338" s="6">
        <v>46154</v>
      </c>
      <c r="B338" s="49" t="s">
        <v>10</v>
      </c>
      <c r="C338" s="4">
        <v>3</v>
      </c>
      <c r="D338" s="2">
        <f>VLOOKUP(B338,[1]lantai9!$B:$G,6,FALSE)</f>
        <v>23000</v>
      </c>
      <c r="E338" s="2">
        <f>VLOOKUP(B338,karyawan!B:D,3,FALSE)</f>
        <v>21760</v>
      </c>
      <c r="F338" s="2" t="str">
        <f>VLOOKUP(B338,karyawan!B:E,4,FALSE)</f>
        <v>Compliance</v>
      </c>
      <c r="G338" s="3">
        <v>7</v>
      </c>
      <c r="H338" s="66">
        <f>IFERROR(Inventory!$D38,"0")</f>
        <v>0</v>
      </c>
      <c r="I338" s="4">
        <v>2</v>
      </c>
      <c r="J338" s="5">
        <f t="shared" si="17"/>
        <v>0</v>
      </c>
      <c r="K338" s="4">
        <v>0</v>
      </c>
      <c r="L338" s="48">
        <v>5</v>
      </c>
      <c r="M338" s="4">
        <v>5</v>
      </c>
      <c r="N338" s="4">
        <f t="shared" si="15"/>
        <v>0</v>
      </c>
      <c r="O338" s="65">
        <f t="shared" si="16"/>
        <v>0</v>
      </c>
    </row>
    <row r="339" spans="1:15" ht="14.4" x14ac:dyDescent="0.3">
      <c r="A339" s="6">
        <v>46154</v>
      </c>
      <c r="B339" s="50" t="s">
        <v>23</v>
      </c>
      <c r="C339" s="4">
        <v>3</v>
      </c>
      <c r="D339" s="2">
        <f>VLOOKUP(B339,[1]lantai9!$B:$G,6,FALSE)</f>
        <v>11000</v>
      </c>
      <c r="E339" s="2">
        <f>VLOOKUP(B339,karyawan!B:D,3,FALSE)</f>
        <v>10000</v>
      </c>
      <c r="F339" s="2" t="str">
        <f>VLOOKUP(B339,karyawan!B:E,4,FALSE)</f>
        <v>Compliance</v>
      </c>
      <c r="G339" s="3">
        <v>8</v>
      </c>
      <c r="H339" s="66">
        <f>IFERROR(Inventory!$D39,"0")</f>
        <v>12</v>
      </c>
      <c r="I339" s="4">
        <v>5</v>
      </c>
      <c r="J339" s="5">
        <f t="shared" si="17"/>
        <v>3</v>
      </c>
      <c r="K339" s="4">
        <v>0</v>
      </c>
      <c r="L339" s="48">
        <v>4</v>
      </c>
      <c r="M339" s="4">
        <v>5</v>
      </c>
      <c r="N339" s="4">
        <f t="shared" si="15"/>
        <v>0</v>
      </c>
      <c r="O339" s="65">
        <f t="shared" si="16"/>
        <v>0</v>
      </c>
    </row>
    <row r="340" spans="1:15" ht="14.4" x14ac:dyDescent="0.3">
      <c r="A340" s="6">
        <v>46154</v>
      </c>
      <c r="B340" s="50" t="s">
        <v>24</v>
      </c>
      <c r="C340" s="4">
        <v>3</v>
      </c>
      <c r="D340" s="2">
        <f>VLOOKUP(B340,[1]lantai9!$B:$G,6,FALSE)</f>
        <v>14500</v>
      </c>
      <c r="E340" s="2">
        <f>VLOOKUP(B340,karyawan!B:D,3,FALSE)</f>
        <v>13500</v>
      </c>
      <c r="F340" s="2" t="str">
        <f>VLOOKUP(B340,karyawan!B:E,4,FALSE)</f>
        <v>Compliance</v>
      </c>
      <c r="G340" s="3">
        <v>6</v>
      </c>
      <c r="H340" s="66">
        <f>IFERROR(Inventory!$D40,"0")</f>
        <v>0</v>
      </c>
      <c r="I340" s="4">
        <v>3</v>
      </c>
      <c r="J340" s="5">
        <f t="shared" si="17"/>
        <v>0</v>
      </c>
      <c r="K340" s="4">
        <v>0</v>
      </c>
      <c r="L340" s="48">
        <v>5</v>
      </c>
      <c r="M340" s="4">
        <v>4</v>
      </c>
      <c r="N340" s="4">
        <f t="shared" si="15"/>
        <v>0</v>
      </c>
      <c r="O340" s="65">
        <f t="shared" si="16"/>
        <v>0</v>
      </c>
    </row>
    <row r="341" spans="1:15" ht="14.4" x14ac:dyDescent="0.3">
      <c r="A341" s="6">
        <v>46154</v>
      </c>
      <c r="B341" s="50" t="s">
        <v>15</v>
      </c>
      <c r="C341" s="4">
        <v>3</v>
      </c>
      <c r="D341" s="2">
        <f>VLOOKUP(B341,[1]lantai9!$B:$G,6,FALSE)</f>
        <v>3500</v>
      </c>
      <c r="E341" s="2">
        <f>VLOOKUP(B341,karyawan!B:D,3,FALSE)</f>
        <v>2500</v>
      </c>
      <c r="F341" s="2" t="str">
        <f>VLOOKUP(B341,karyawan!B:E,4,FALSE)</f>
        <v>Compliance</v>
      </c>
      <c r="G341" s="3">
        <v>20</v>
      </c>
      <c r="H341" s="66">
        <f>IFERROR(Inventory!$D41,"0")</f>
        <v>0</v>
      </c>
      <c r="I341" s="4">
        <v>18</v>
      </c>
      <c r="J341" s="5">
        <f t="shared" si="17"/>
        <v>0</v>
      </c>
      <c r="K341" s="4">
        <v>0</v>
      </c>
      <c r="L341" s="48">
        <v>5</v>
      </c>
      <c r="M341" s="4">
        <v>5</v>
      </c>
      <c r="N341" s="4">
        <f t="shared" si="15"/>
        <v>13</v>
      </c>
      <c r="O341" s="65">
        <f t="shared" si="16"/>
        <v>45500</v>
      </c>
    </row>
    <row r="342" spans="1:15" ht="14.4" x14ac:dyDescent="0.3">
      <c r="A342" s="6">
        <v>46154</v>
      </c>
      <c r="B342" s="50" t="s">
        <v>22</v>
      </c>
      <c r="C342" s="4">
        <v>3</v>
      </c>
      <c r="D342" s="2">
        <f>VLOOKUP(B342,[1]lantai9!$B:$G,6,FALSE)</f>
        <v>5500</v>
      </c>
      <c r="E342" s="2">
        <f>VLOOKUP(B342,karyawan!B:D,3,FALSE)</f>
        <v>4500</v>
      </c>
      <c r="F342" s="2" t="str">
        <f>VLOOKUP(B342,karyawan!B:E,4,FALSE)</f>
        <v>Compliance</v>
      </c>
      <c r="G342" s="3">
        <v>8</v>
      </c>
      <c r="H342" s="66">
        <f>IFERROR(Inventory!$D42,"0")</f>
        <v>17</v>
      </c>
      <c r="I342" s="4">
        <v>6</v>
      </c>
      <c r="J342" s="5">
        <f t="shared" si="17"/>
        <v>2</v>
      </c>
      <c r="K342" s="4">
        <v>0</v>
      </c>
      <c r="L342" s="48">
        <v>9</v>
      </c>
      <c r="M342" s="4">
        <v>6</v>
      </c>
      <c r="N342" s="4">
        <f t="shared" si="15"/>
        <v>0</v>
      </c>
      <c r="O342" s="65">
        <f t="shared" si="16"/>
        <v>0</v>
      </c>
    </row>
    <row r="343" spans="1:15" ht="14.4" x14ac:dyDescent="0.3">
      <c r="A343" s="6">
        <v>46154</v>
      </c>
      <c r="B343" s="50" t="s">
        <v>25</v>
      </c>
      <c r="C343" s="4">
        <v>3</v>
      </c>
      <c r="D343" s="2">
        <f>VLOOKUP(B343,[1]lantai9!$B:$G,6,FALSE)</f>
        <v>9000</v>
      </c>
      <c r="E343" s="2">
        <f>VLOOKUP(B343,karyawan!B:D,3,FALSE)</f>
        <v>8000</v>
      </c>
      <c r="F343" s="2" t="str">
        <f>VLOOKUP(B343,karyawan!B:E,4,FALSE)</f>
        <v>Compliance</v>
      </c>
      <c r="G343" s="3">
        <v>3</v>
      </c>
      <c r="H343" s="66">
        <f>IFERROR(Inventory!$D43,"0")</f>
        <v>0</v>
      </c>
      <c r="I343" s="4">
        <v>1</v>
      </c>
      <c r="J343" s="5">
        <f t="shared" si="17"/>
        <v>0</v>
      </c>
      <c r="K343" s="4">
        <v>0</v>
      </c>
      <c r="L343" s="48">
        <v>11</v>
      </c>
      <c r="M343" s="4">
        <v>2</v>
      </c>
      <c r="N343" s="4">
        <f t="shared" si="15"/>
        <v>0</v>
      </c>
      <c r="O343" s="65">
        <f t="shared" si="16"/>
        <v>0</v>
      </c>
    </row>
    <row r="344" spans="1:15" ht="14.4" x14ac:dyDescent="0.3">
      <c r="A344" s="6">
        <v>46154</v>
      </c>
      <c r="B344" s="49" t="s">
        <v>4</v>
      </c>
      <c r="C344" s="4">
        <v>8</v>
      </c>
      <c r="D344" s="2">
        <f>VLOOKUP(B344,[1]lantai9!$B:$G,6,FALSE)</f>
        <v>35000</v>
      </c>
      <c r="E344" s="2">
        <f>VLOOKUP(B344,karyawan!B:D,3,FALSE)</f>
        <v>34000</v>
      </c>
      <c r="F344" s="2" t="str">
        <f>VLOOKUP(B344,karyawan!B:E,4,FALSE)</f>
        <v>Florida</v>
      </c>
      <c r="G344" s="3">
        <v>5</v>
      </c>
      <c r="H344" s="66">
        <f t="shared" ref="H344:H385" si="18">H323-J323</f>
        <v>0</v>
      </c>
      <c r="I344" s="4">
        <v>4</v>
      </c>
      <c r="J344" s="5">
        <f t="shared" si="17"/>
        <v>0</v>
      </c>
      <c r="K344" s="4">
        <v>0</v>
      </c>
      <c r="L344" s="48">
        <v>4</v>
      </c>
      <c r="M344" s="4">
        <v>4</v>
      </c>
      <c r="N344" s="4">
        <f t="shared" si="15"/>
        <v>0</v>
      </c>
      <c r="O344" s="65">
        <f t="shared" si="16"/>
        <v>0</v>
      </c>
    </row>
    <row r="345" spans="1:15" ht="14.4" x14ac:dyDescent="0.3">
      <c r="A345" s="6">
        <v>46154</v>
      </c>
      <c r="B345" s="49" t="s">
        <v>13</v>
      </c>
      <c r="C345" s="4">
        <v>8</v>
      </c>
      <c r="D345" s="2">
        <f>VLOOKUP(B345,[1]lantai9!$B:$G,6,FALSE)</f>
        <v>23000</v>
      </c>
      <c r="E345" s="2">
        <f>VLOOKUP(B345,karyawan!B:D,3,FALSE)</f>
        <v>22000</v>
      </c>
      <c r="F345" s="2" t="str">
        <f>VLOOKUP(B345,karyawan!B:E,4,FALSE)</f>
        <v>Yohannes</v>
      </c>
      <c r="G345" s="3">
        <v>6</v>
      </c>
      <c r="H345" s="66">
        <f t="shared" si="18"/>
        <v>34</v>
      </c>
      <c r="I345" s="4">
        <v>6</v>
      </c>
      <c r="J345" s="5">
        <f t="shared" si="17"/>
        <v>5</v>
      </c>
      <c r="K345" s="4">
        <v>0</v>
      </c>
      <c r="L345" s="48">
        <v>11</v>
      </c>
      <c r="M345" s="4">
        <v>1</v>
      </c>
      <c r="N345" s="4">
        <f t="shared" si="15"/>
        <v>5</v>
      </c>
      <c r="O345" s="65">
        <f t="shared" si="16"/>
        <v>115000</v>
      </c>
    </row>
    <row r="346" spans="1:15" ht="14.4" x14ac:dyDescent="0.3">
      <c r="A346" s="6">
        <v>46154</v>
      </c>
      <c r="B346" s="49" t="s">
        <v>12</v>
      </c>
      <c r="C346" s="4">
        <v>8</v>
      </c>
      <c r="D346" s="2">
        <f>VLOOKUP(B346,[1]lantai9!$B:$G,6,FALSE)</f>
        <v>21000</v>
      </c>
      <c r="E346" s="2">
        <f>VLOOKUP(B346,karyawan!B:D,3,FALSE)</f>
        <v>20000</v>
      </c>
      <c r="F346" s="2" t="str">
        <f>VLOOKUP(B346,karyawan!B:E,4,FALSE)</f>
        <v>Damaz</v>
      </c>
      <c r="G346" s="3">
        <v>2</v>
      </c>
      <c r="H346" s="66">
        <f t="shared" si="18"/>
        <v>0</v>
      </c>
      <c r="I346" s="4">
        <v>1</v>
      </c>
      <c r="J346" s="5">
        <f t="shared" si="17"/>
        <v>0</v>
      </c>
      <c r="K346" s="4">
        <v>0</v>
      </c>
      <c r="L346" s="48">
        <v>1</v>
      </c>
      <c r="M346" s="4">
        <v>1</v>
      </c>
      <c r="N346" s="4">
        <f t="shared" si="15"/>
        <v>0</v>
      </c>
      <c r="O346" s="65">
        <f t="shared" si="16"/>
        <v>0</v>
      </c>
    </row>
    <row r="347" spans="1:15" ht="14.4" x14ac:dyDescent="0.3">
      <c r="A347" s="6">
        <v>46154</v>
      </c>
      <c r="B347" s="49" t="s">
        <v>11</v>
      </c>
      <c r="C347" s="4">
        <v>8</v>
      </c>
      <c r="D347" s="2">
        <f>VLOOKUP(B347,[1]lantai9!$B:$G,6,FALSE)</f>
        <v>36000</v>
      </c>
      <c r="E347" s="2">
        <f>VLOOKUP(B347,karyawan!B:D,3,FALSE)</f>
        <v>35000</v>
      </c>
      <c r="F347" s="2" t="str">
        <f>VLOOKUP(B347,karyawan!B:E,4,FALSE)</f>
        <v>Damaz</v>
      </c>
      <c r="G347" s="3">
        <v>3</v>
      </c>
      <c r="H347" s="66">
        <f t="shared" si="18"/>
        <v>0</v>
      </c>
      <c r="I347" s="4">
        <v>2</v>
      </c>
      <c r="J347" s="5">
        <f t="shared" si="17"/>
        <v>0</v>
      </c>
      <c r="K347" s="4">
        <v>0</v>
      </c>
      <c r="L347" s="48">
        <v>2</v>
      </c>
      <c r="M347" s="4">
        <v>2</v>
      </c>
      <c r="N347" s="4">
        <f t="shared" si="15"/>
        <v>0</v>
      </c>
      <c r="O347" s="65">
        <f t="shared" si="16"/>
        <v>0</v>
      </c>
    </row>
    <row r="348" spans="1:15" ht="14.4" x14ac:dyDescent="0.3">
      <c r="A348" s="6">
        <v>46154</v>
      </c>
      <c r="B348" s="49" t="s">
        <v>14</v>
      </c>
      <c r="C348" s="4">
        <v>8</v>
      </c>
      <c r="D348" s="2">
        <f>VLOOKUP(B348,[1]lantai9!$B:$G,6,FALSE)</f>
        <v>23000</v>
      </c>
      <c r="E348" s="2">
        <f>VLOOKUP(B348,karyawan!B:D,3,FALSE)</f>
        <v>22000</v>
      </c>
      <c r="F348" s="2" t="str">
        <f>VLOOKUP(B348,karyawan!B:E,4,FALSE)</f>
        <v>Vale</v>
      </c>
      <c r="G348" s="3">
        <v>5</v>
      </c>
      <c r="H348" s="66">
        <f t="shared" si="18"/>
        <v>0</v>
      </c>
      <c r="I348" s="4">
        <v>3</v>
      </c>
      <c r="J348" s="5">
        <f t="shared" si="17"/>
        <v>0</v>
      </c>
      <c r="K348" s="4">
        <v>0</v>
      </c>
      <c r="L348" s="48">
        <v>3</v>
      </c>
      <c r="M348" s="4">
        <v>2</v>
      </c>
      <c r="N348" s="4">
        <f t="shared" si="15"/>
        <v>1</v>
      </c>
      <c r="O348" s="65">
        <f t="shared" si="16"/>
        <v>23000</v>
      </c>
    </row>
    <row r="349" spans="1:15" ht="14.4" x14ac:dyDescent="0.3">
      <c r="A349" s="6">
        <v>46154</v>
      </c>
      <c r="B349" s="49" t="s">
        <v>7</v>
      </c>
      <c r="C349" s="4">
        <v>8</v>
      </c>
      <c r="D349" s="2">
        <f>VLOOKUP(B349,[1]lantai9!$B:$G,6,FALSE)</f>
        <v>15000</v>
      </c>
      <c r="E349" s="2">
        <f>VLOOKUP(B349,karyawan!B:D,3,FALSE)</f>
        <v>14000</v>
      </c>
      <c r="F349" s="2" t="str">
        <f>VLOOKUP(B349,karyawan!B:E,4,FALSE)</f>
        <v>Desy</v>
      </c>
      <c r="G349" s="3">
        <v>6</v>
      </c>
      <c r="H349" s="66">
        <f t="shared" si="18"/>
        <v>9</v>
      </c>
      <c r="I349" s="4">
        <v>6</v>
      </c>
      <c r="J349" s="5">
        <f t="shared" si="17"/>
        <v>1</v>
      </c>
      <c r="K349" s="4">
        <v>0</v>
      </c>
      <c r="L349" s="48">
        <v>5</v>
      </c>
      <c r="M349" s="4">
        <v>5</v>
      </c>
      <c r="N349" s="4">
        <f t="shared" si="15"/>
        <v>1</v>
      </c>
      <c r="O349" s="65">
        <f t="shared" si="16"/>
        <v>15000</v>
      </c>
    </row>
    <row r="350" spans="1:15" ht="14.4" x14ac:dyDescent="0.3">
      <c r="A350" s="6">
        <v>46154</v>
      </c>
      <c r="B350" s="49" t="s">
        <v>8</v>
      </c>
      <c r="C350" s="4">
        <v>8</v>
      </c>
      <c r="D350" s="2">
        <f>VLOOKUP(B350,[1]lantai9!$B:$G,6,FALSE)</f>
        <v>18000</v>
      </c>
      <c r="E350" s="2">
        <f>VLOOKUP(B350,karyawan!B:D,3,FALSE)</f>
        <v>17000</v>
      </c>
      <c r="F350" s="2" t="str">
        <f>VLOOKUP(B350,karyawan!B:E,4,FALSE)</f>
        <v>Geby</v>
      </c>
      <c r="G350" s="3">
        <v>4</v>
      </c>
      <c r="H350" s="66">
        <f t="shared" si="18"/>
        <v>0</v>
      </c>
      <c r="I350" s="4">
        <v>4</v>
      </c>
      <c r="J350" s="5">
        <f t="shared" si="17"/>
        <v>0</v>
      </c>
      <c r="K350" s="4">
        <v>0</v>
      </c>
      <c r="L350" s="48">
        <v>3</v>
      </c>
      <c r="M350" s="4">
        <v>4</v>
      </c>
      <c r="N350" s="4">
        <f t="shared" si="15"/>
        <v>0</v>
      </c>
      <c r="O350" s="65">
        <f t="shared" si="16"/>
        <v>0</v>
      </c>
    </row>
    <row r="351" spans="1:15" ht="14.4" x14ac:dyDescent="0.3">
      <c r="A351" s="6">
        <v>46154</v>
      </c>
      <c r="B351" s="49" t="s">
        <v>9</v>
      </c>
      <c r="C351" s="4">
        <v>8</v>
      </c>
      <c r="D351" s="2">
        <f>VLOOKUP(B351,[1]lantai9!$B:$G,6,FALSE)</f>
        <v>21000</v>
      </c>
      <c r="E351" s="2">
        <f>VLOOKUP(B351,karyawan!B:D,3,FALSE)</f>
        <v>20000</v>
      </c>
      <c r="F351" s="2" t="str">
        <f>VLOOKUP(B351,karyawan!B:E,4,FALSE)</f>
        <v>Geby</v>
      </c>
      <c r="G351" s="3">
        <v>3</v>
      </c>
      <c r="H351" s="66">
        <f t="shared" si="18"/>
        <v>0</v>
      </c>
      <c r="I351" s="4">
        <v>4</v>
      </c>
      <c r="J351" s="5">
        <f t="shared" si="17"/>
        <v>0</v>
      </c>
      <c r="K351" s="4">
        <v>0</v>
      </c>
      <c r="L351" s="48">
        <v>0</v>
      </c>
      <c r="M351" s="4">
        <v>1</v>
      </c>
      <c r="N351" s="4">
        <f t="shared" si="15"/>
        <v>3</v>
      </c>
      <c r="O351" s="65">
        <f t="shared" si="16"/>
        <v>63000</v>
      </c>
    </row>
    <row r="352" spans="1:15" ht="14.4" x14ac:dyDescent="0.3">
      <c r="A352" s="6">
        <v>46154</v>
      </c>
      <c r="B352" s="49" t="s">
        <v>20</v>
      </c>
      <c r="C352" s="4">
        <v>8</v>
      </c>
      <c r="D352" s="2">
        <f>VLOOKUP(B352,[1]lantai9!$B:$G,6,FALSE)</f>
        <v>35000</v>
      </c>
      <c r="E352" s="2">
        <f>VLOOKUP(B352,karyawan!B:D,3,FALSE)</f>
        <v>34000</v>
      </c>
      <c r="F352" s="2" t="str">
        <f>VLOOKUP(B352,karyawan!B:E,4,FALSE)</f>
        <v>Sherly</v>
      </c>
      <c r="G352" s="3">
        <v>2</v>
      </c>
      <c r="H352" s="66">
        <f t="shared" si="18"/>
        <v>14</v>
      </c>
      <c r="I352" s="4">
        <v>2</v>
      </c>
      <c r="J352" s="5">
        <f t="shared" si="17"/>
        <v>0</v>
      </c>
      <c r="K352" s="4">
        <v>0</v>
      </c>
      <c r="L352" s="48">
        <v>2</v>
      </c>
      <c r="M352" s="4">
        <v>2</v>
      </c>
      <c r="N352" s="4">
        <f t="shared" si="15"/>
        <v>0</v>
      </c>
      <c r="O352" s="65">
        <f t="shared" si="16"/>
        <v>0</v>
      </c>
    </row>
    <row r="353" spans="1:15" ht="14.4" x14ac:dyDescent="0.3">
      <c r="A353" s="6">
        <v>46154</v>
      </c>
      <c r="B353" s="49" t="s">
        <v>21</v>
      </c>
      <c r="C353" s="4">
        <v>8</v>
      </c>
      <c r="D353" s="2">
        <f>VLOOKUP(B353,[1]lantai9!$B:$G,6,FALSE)</f>
        <v>40000</v>
      </c>
      <c r="E353" s="2">
        <f>VLOOKUP(B353,karyawan!B:D,3,FALSE)</f>
        <v>39000</v>
      </c>
      <c r="F353" s="2" t="str">
        <f>VLOOKUP(B353,karyawan!B:E,4,FALSE)</f>
        <v>Sherly</v>
      </c>
      <c r="G353" s="3">
        <v>4</v>
      </c>
      <c r="H353" s="66">
        <f t="shared" si="18"/>
        <v>19</v>
      </c>
      <c r="I353" s="4">
        <v>4</v>
      </c>
      <c r="J353" s="5">
        <f t="shared" si="17"/>
        <v>2</v>
      </c>
      <c r="K353" s="4">
        <v>0</v>
      </c>
      <c r="L353" s="48">
        <v>2</v>
      </c>
      <c r="M353" s="4">
        <v>2</v>
      </c>
      <c r="N353" s="4">
        <f t="shared" si="15"/>
        <v>2</v>
      </c>
      <c r="O353" s="65">
        <f t="shared" si="16"/>
        <v>80000</v>
      </c>
    </row>
    <row r="354" spans="1:15" ht="14.4" x14ac:dyDescent="0.3">
      <c r="A354" s="6">
        <v>46154</v>
      </c>
      <c r="B354" s="49" t="s">
        <v>19</v>
      </c>
      <c r="C354" s="4">
        <v>8</v>
      </c>
      <c r="D354" s="2">
        <f>VLOOKUP(B354,[1]lantai9!$B:$G,6,FALSE)</f>
        <v>2500</v>
      </c>
      <c r="E354" s="2">
        <f>VLOOKUP(B354,karyawan!B:D,3,FALSE)</f>
        <v>1480</v>
      </c>
      <c r="F354" s="2" t="str">
        <f>VLOOKUP(B354,karyawan!B:E,4,FALSE)</f>
        <v>Compliance</v>
      </c>
      <c r="G354" s="3">
        <v>12</v>
      </c>
      <c r="H354" s="66">
        <f t="shared" si="18"/>
        <v>0</v>
      </c>
      <c r="I354" s="4">
        <v>2</v>
      </c>
      <c r="J354" s="5">
        <f t="shared" si="17"/>
        <v>0</v>
      </c>
      <c r="K354" s="4">
        <v>0</v>
      </c>
      <c r="L354" s="48">
        <v>1</v>
      </c>
      <c r="M354" s="4">
        <v>1</v>
      </c>
      <c r="N354" s="4">
        <f t="shared" si="15"/>
        <v>1</v>
      </c>
      <c r="O354" s="65">
        <f t="shared" si="16"/>
        <v>2500</v>
      </c>
    </row>
    <row r="355" spans="1:15" ht="14.4" x14ac:dyDescent="0.3">
      <c r="A355" s="6">
        <v>46154</v>
      </c>
      <c r="B355" s="49" t="s">
        <v>17</v>
      </c>
      <c r="C355" s="4">
        <v>8</v>
      </c>
      <c r="D355" s="2">
        <f>VLOOKUP(B355,[1]lantai9!$B:$G,6,FALSE)</f>
        <v>2000</v>
      </c>
      <c r="E355" s="2">
        <f>VLOOKUP(B355,karyawan!B:D,3,FALSE)</f>
        <v>1074</v>
      </c>
      <c r="F355" s="2" t="str">
        <f>VLOOKUP(B355,karyawan!B:E,4,FALSE)</f>
        <v>Compliance</v>
      </c>
      <c r="G355" s="3">
        <v>10</v>
      </c>
      <c r="H355" s="66">
        <f t="shared" si="18"/>
        <v>67</v>
      </c>
      <c r="I355" s="4">
        <v>10</v>
      </c>
      <c r="J355" s="5">
        <f t="shared" ref="J355:J389" si="19">IF(H355&gt;MAX(G355-M355,0),MAX(G355-M355,0),H355)</f>
        <v>1</v>
      </c>
      <c r="K355" s="4">
        <v>0</v>
      </c>
      <c r="L355" s="48">
        <v>9</v>
      </c>
      <c r="M355" s="4">
        <v>9</v>
      </c>
      <c r="N355" s="4">
        <f t="shared" si="15"/>
        <v>1</v>
      </c>
      <c r="O355" s="65">
        <f t="shared" si="16"/>
        <v>2000</v>
      </c>
    </row>
    <row r="356" spans="1:15" ht="14.4" x14ac:dyDescent="0.3">
      <c r="A356" s="6">
        <v>46154</v>
      </c>
      <c r="B356" s="49" t="s">
        <v>5</v>
      </c>
      <c r="C356" s="4">
        <v>8</v>
      </c>
      <c r="D356" s="2">
        <f>VLOOKUP(B356,[1]lantai9!$B:$G,6,FALSE)</f>
        <v>2500</v>
      </c>
      <c r="E356" s="2">
        <f>VLOOKUP(B356,karyawan!B:D,3,FALSE)</f>
        <v>1465</v>
      </c>
      <c r="F356" s="2" t="str">
        <f>VLOOKUP(B356,karyawan!B:E,4,FALSE)</f>
        <v>Compliance</v>
      </c>
      <c r="G356" s="3">
        <v>10</v>
      </c>
      <c r="H356" s="66">
        <f t="shared" si="18"/>
        <v>61</v>
      </c>
      <c r="I356" s="4">
        <v>10</v>
      </c>
      <c r="J356" s="5">
        <f t="shared" si="19"/>
        <v>2</v>
      </c>
      <c r="K356" s="4">
        <v>0</v>
      </c>
      <c r="L356" s="48">
        <v>11</v>
      </c>
      <c r="M356" s="4">
        <v>8</v>
      </c>
      <c r="N356" s="4">
        <f t="shared" si="15"/>
        <v>2</v>
      </c>
      <c r="O356" s="65">
        <f t="shared" si="16"/>
        <v>5000</v>
      </c>
    </row>
    <row r="357" spans="1:15" ht="14.4" x14ac:dyDescent="0.3">
      <c r="A357" s="6">
        <v>46154</v>
      </c>
      <c r="B357" s="49" t="s">
        <v>3</v>
      </c>
      <c r="C357" s="4">
        <v>8</v>
      </c>
      <c r="D357" s="2">
        <f>VLOOKUP(B357,[1]lantai9!$B:$G,6,FALSE)</f>
        <v>10000</v>
      </c>
      <c r="E357" s="2">
        <f>VLOOKUP(B357,karyawan!B:D,3,FALSE)</f>
        <v>9200</v>
      </c>
      <c r="F357" s="2" t="str">
        <f>VLOOKUP(B357,karyawan!B:E,4,FALSE)</f>
        <v>Compliance</v>
      </c>
      <c r="G357" s="3">
        <v>15</v>
      </c>
      <c r="H357" s="66">
        <f t="shared" si="18"/>
        <v>0</v>
      </c>
      <c r="I357" s="4">
        <v>15</v>
      </c>
      <c r="J357" s="5">
        <f t="shared" si="19"/>
        <v>0</v>
      </c>
      <c r="K357" s="4">
        <v>0</v>
      </c>
      <c r="L357" s="48">
        <v>11</v>
      </c>
      <c r="M357" s="4">
        <v>11</v>
      </c>
      <c r="N357" s="4">
        <f t="shared" si="15"/>
        <v>4</v>
      </c>
      <c r="O357" s="65">
        <f t="shared" si="16"/>
        <v>40000</v>
      </c>
    </row>
    <row r="358" spans="1:15" ht="14.4" x14ac:dyDescent="0.3">
      <c r="A358" s="6">
        <v>46154</v>
      </c>
      <c r="B358" s="49" t="s">
        <v>18</v>
      </c>
      <c r="C358" s="4">
        <v>8</v>
      </c>
      <c r="D358" s="2">
        <f>VLOOKUP(B358,[1]lantai9!$B:$G,6,FALSE)</f>
        <v>15000</v>
      </c>
      <c r="E358" s="2">
        <f>VLOOKUP(B358,karyawan!B:D,3,FALSE)</f>
        <v>13807</v>
      </c>
      <c r="F358" s="2" t="str">
        <f>VLOOKUP(B358,karyawan!B:E,4,FALSE)</f>
        <v>Compliance</v>
      </c>
      <c r="G358" s="3">
        <v>10</v>
      </c>
      <c r="H358" s="66">
        <f t="shared" si="18"/>
        <v>7</v>
      </c>
      <c r="I358" s="4">
        <v>10</v>
      </c>
      <c r="J358" s="5">
        <f t="shared" si="19"/>
        <v>3</v>
      </c>
      <c r="K358" s="4">
        <v>0</v>
      </c>
      <c r="L358" s="48">
        <v>8</v>
      </c>
      <c r="M358" s="4">
        <v>7</v>
      </c>
      <c r="N358" s="4">
        <f t="shared" si="15"/>
        <v>3</v>
      </c>
      <c r="O358" s="65">
        <f t="shared" si="16"/>
        <v>45000</v>
      </c>
    </row>
    <row r="359" spans="1:15" ht="14.4" x14ac:dyDescent="0.3">
      <c r="A359" s="6">
        <v>46154</v>
      </c>
      <c r="B359" s="49" t="s">
        <v>10</v>
      </c>
      <c r="C359" s="4">
        <v>8</v>
      </c>
      <c r="D359" s="2">
        <f>VLOOKUP(B359,[1]lantai9!$B:$G,6,FALSE)</f>
        <v>23000</v>
      </c>
      <c r="E359" s="2">
        <f>VLOOKUP(B359,karyawan!B:D,3,FALSE)</f>
        <v>21760</v>
      </c>
      <c r="F359" s="2" t="str">
        <f>VLOOKUP(B359,karyawan!B:E,4,FALSE)</f>
        <v>Compliance</v>
      </c>
      <c r="G359" s="3">
        <v>7</v>
      </c>
      <c r="H359" s="66">
        <f t="shared" si="18"/>
        <v>0</v>
      </c>
      <c r="I359" s="4">
        <v>6</v>
      </c>
      <c r="J359" s="5">
        <f t="shared" si="19"/>
        <v>0</v>
      </c>
      <c r="K359" s="4">
        <v>0</v>
      </c>
      <c r="L359" s="48">
        <v>6</v>
      </c>
      <c r="M359" s="4">
        <v>6</v>
      </c>
      <c r="N359" s="4">
        <f t="shared" si="15"/>
        <v>0</v>
      </c>
      <c r="O359" s="65">
        <f t="shared" si="16"/>
        <v>0</v>
      </c>
    </row>
    <row r="360" spans="1:15" ht="14.4" x14ac:dyDescent="0.3">
      <c r="A360" s="6">
        <v>46154</v>
      </c>
      <c r="B360" s="50" t="s">
        <v>23</v>
      </c>
      <c r="C360" s="4">
        <v>8</v>
      </c>
      <c r="D360" s="2">
        <f>VLOOKUP(B360,[1]lantai9!$B:$G,6,FALSE)</f>
        <v>11000</v>
      </c>
      <c r="E360" s="2">
        <f>VLOOKUP(B360,karyawan!B:D,3,FALSE)</f>
        <v>10000</v>
      </c>
      <c r="F360" s="2" t="str">
        <f>VLOOKUP(B360,karyawan!B:E,4,FALSE)</f>
        <v>Compliance</v>
      </c>
      <c r="G360" s="3">
        <v>8</v>
      </c>
      <c r="H360" s="66">
        <f t="shared" si="18"/>
        <v>9</v>
      </c>
      <c r="I360" s="4">
        <v>8</v>
      </c>
      <c r="J360" s="5">
        <f t="shared" si="19"/>
        <v>3</v>
      </c>
      <c r="K360" s="4">
        <v>0</v>
      </c>
      <c r="L360" s="48">
        <v>5</v>
      </c>
      <c r="M360" s="4">
        <v>5</v>
      </c>
      <c r="N360" s="4">
        <f t="shared" si="15"/>
        <v>3</v>
      </c>
      <c r="O360" s="65">
        <f t="shared" si="16"/>
        <v>33000</v>
      </c>
    </row>
    <row r="361" spans="1:15" ht="14.4" x14ac:dyDescent="0.3">
      <c r="A361" s="6">
        <v>46154</v>
      </c>
      <c r="B361" s="50" t="s">
        <v>24</v>
      </c>
      <c r="C361" s="4">
        <v>8</v>
      </c>
      <c r="D361" s="2">
        <f>VLOOKUP(B361,[1]lantai9!$B:$G,6,FALSE)</f>
        <v>14500</v>
      </c>
      <c r="E361" s="2">
        <f>VLOOKUP(B361,karyawan!B:D,3,FALSE)</f>
        <v>13500</v>
      </c>
      <c r="F361" s="2" t="str">
        <f>VLOOKUP(B361,karyawan!B:E,4,FALSE)</f>
        <v>Compliance</v>
      </c>
      <c r="G361" s="3">
        <v>6</v>
      </c>
      <c r="H361" s="66">
        <f t="shared" si="18"/>
        <v>0</v>
      </c>
      <c r="I361" s="4">
        <v>6</v>
      </c>
      <c r="J361" s="5">
        <f t="shared" si="19"/>
        <v>0</v>
      </c>
      <c r="K361" s="4">
        <v>0</v>
      </c>
      <c r="L361" s="48">
        <v>4</v>
      </c>
      <c r="M361" s="4">
        <v>4</v>
      </c>
      <c r="N361" s="4">
        <f t="shared" si="15"/>
        <v>2</v>
      </c>
      <c r="O361" s="65">
        <f t="shared" si="16"/>
        <v>29000</v>
      </c>
    </row>
    <row r="362" spans="1:15" ht="14.4" x14ac:dyDescent="0.3">
      <c r="A362" s="6">
        <v>46154</v>
      </c>
      <c r="B362" s="50" t="s">
        <v>15</v>
      </c>
      <c r="C362" s="4">
        <v>8</v>
      </c>
      <c r="D362" s="2">
        <f>VLOOKUP(B362,[1]lantai9!$B:$G,6,FALSE)</f>
        <v>3500</v>
      </c>
      <c r="E362" s="2">
        <f>VLOOKUP(B362,karyawan!B:D,3,FALSE)</f>
        <v>2500</v>
      </c>
      <c r="F362" s="2" t="str">
        <f>VLOOKUP(B362,karyawan!B:E,4,FALSE)</f>
        <v>Compliance</v>
      </c>
      <c r="G362" s="3">
        <v>20</v>
      </c>
      <c r="H362" s="66">
        <f t="shared" si="18"/>
        <v>0</v>
      </c>
      <c r="I362" s="4">
        <v>18</v>
      </c>
      <c r="J362" s="5">
        <f t="shared" si="19"/>
        <v>0</v>
      </c>
      <c r="K362" s="4">
        <v>0</v>
      </c>
      <c r="L362" s="48">
        <v>16</v>
      </c>
      <c r="M362" s="4">
        <v>16</v>
      </c>
      <c r="N362" s="4">
        <f t="shared" si="15"/>
        <v>2</v>
      </c>
      <c r="O362" s="65">
        <f t="shared" si="16"/>
        <v>7000</v>
      </c>
    </row>
    <row r="363" spans="1:15" ht="14.4" x14ac:dyDescent="0.3">
      <c r="A363" s="6">
        <v>46154</v>
      </c>
      <c r="B363" s="50" t="s">
        <v>22</v>
      </c>
      <c r="C363" s="4">
        <v>8</v>
      </c>
      <c r="D363" s="2">
        <f>VLOOKUP(B363,[1]lantai9!$B:$G,6,FALSE)</f>
        <v>5500</v>
      </c>
      <c r="E363" s="2">
        <f>VLOOKUP(B363,karyawan!B:D,3,FALSE)</f>
        <v>4500</v>
      </c>
      <c r="F363" s="2" t="str">
        <f>VLOOKUP(B363,karyawan!B:E,4,FALSE)</f>
        <v>Compliance</v>
      </c>
      <c r="G363" s="3">
        <v>8</v>
      </c>
      <c r="H363" s="66">
        <f t="shared" si="18"/>
        <v>15</v>
      </c>
      <c r="I363" s="4">
        <v>8</v>
      </c>
      <c r="J363" s="5">
        <f t="shared" si="19"/>
        <v>1</v>
      </c>
      <c r="K363" s="4">
        <v>0</v>
      </c>
      <c r="L363" s="48">
        <v>11</v>
      </c>
      <c r="M363" s="4">
        <v>7</v>
      </c>
      <c r="N363" s="4">
        <f t="shared" si="15"/>
        <v>1</v>
      </c>
      <c r="O363" s="65">
        <f t="shared" si="16"/>
        <v>5500</v>
      </c>
    </row>
    <row r="364" spans="1:15" ht="14.4" x14ac:dyDescent="0.3">
      <c r="A364" s="6">
        <v>46154</v>
      </c>
      <c r="B364" s="50" t="s">
        <v>25</v>
      </c>
      <c r="C364" s="4">
        <v>8</v>
      </c>
      <c r="D364" s="2">
        <f>VLOOKUP(B364,[1]lantai9!$B:$G,6,FALSE)</f>
        <v>9000</v>
      </c>
      <c r="E364" s="2">
        <f>VLOOKUP(B364,karyawan!B:D,3,FALSE)</f>
        <v>8000</v>
      </c>
      <c r="F364" s="2" t="str">
        <f>VLOOKUP(B364,karyawan!B:E,4,FALSE)</f>
        <v>Compliance</v>
      </c>
      <c r="G364" s="3">
        <v>3</v>
      </c>
      <c r="H364" s="66">
        <f t="shared" si="18"/>
        <v>0</v>
      </c>
      <c r="I364" s="4">
        <v>3</v>
      </c>
      <c r="J364" s="5">
        <f t="shared" si="19"/>
        <v>0</v>
      </c>
      <c r="K364" s="4">
        <v>0</v>
      </c>
      <c r="L364" s="48">
        <v>4</v>
      </c>
      <c r="M364" s="4">
        <v>1</v>
      </c>
      <c r="N364" s="4">
        <f t="shared" si="15"/>
        <v>2</v>
      </c>
      <c r="O364" s="65">
        <f t="shared" si="16"/>
        <v>18000</v>
      </c>
    </row>
    <row r="365" spans="1:15" ht="14.4" x14ac:dyDescent="0.3">
      <c r="A365" s="6">
        <v>46154</v>
      </c>
      <c r="B365" s="49" t="s">
        <v>4</v>
      </c>
      <c r="C365" s="4">
        <v>9</v>
      </c>
      <c r="D365" s="2">
        <f>VLOOKUP(B365,[1]lantai9!$B:$G,6,FALSE)</f>
        <v>35000</v>
      </c>
      <c r="E365" s="2">
        <f>VLOOKUP(B365,karyawan!B:D,3,FALSE)</f>
        <v>34000</v>
      </c>
      <c r="F365" s="2" t="str">
        <f>VLOOKUP(B365,karyawan!B:E,4,FALSE)</f>
        <v>Florida</v>
      </c>
      <c r="G365" s="3">
        <v>5</v>
      </c>
      <c r="H365" s="66">
        <f t="shared" si="18"/>
        <v>0</v>
      </c>
      <c r="I365" s="4">
        <v>4</v>
      </c>
      <c r="J365" s="5">
        <f t="shared" si="19"/>
        <v>0</v>
      </c>
      <c r="K365" s="4">
        <v>0</v>
      </c>
      <c r="L365" s="48">
        <v>3</v>
      </c>
      <c r="M365" s="4">
        <v>3</v>
      </c>
      <c r="N365" s="4">
        <f t="shared" si="15"/>
        <v>1</v>
      </c>
      <c r="O365" s="65">
        <f t="shared" si="16"/>
        <v>35000</v>
      </c>
    </row>
    <row r="366" spans="1:15" ht="14.4" x14ac:dyDescent="0.3">
      <c r="A366" s="6">
        <v>46154</v>
      </c>
      <c r="B366" s="49" t="s">
        <v>13</v>
      </c>
      <c r="C366" s="4">
        <v>9</v>
      </c>
      <c r="D366" s="2">
        <f>VLOOKUP(B366,[1]lantai9!$B:$G,6,FALSE)</f>
        <v>23000</v>
      </c>
      <c r="E366" s="2">
        <f>VLOOKUP(B366,karyawan!B:D,3,FALSE)</f>
        <v>22000</v>
      </c>
      <c r="F366" s="2" t="str">
        <f>VLOOKUP(B366,karyawan!B:E,4,FALSE)</f>
        <v>Yohannes</v>
      </c>
      <c r="G366" s="3">
        <v>6</v>
      </c>
      <c r="H366" s="66">
        <f t="shared" si="18"/>
        <v>29</v>
      </c>
      <c r="I366" s="4">
        <v>7</v>
      </c>
      <c r="J366" s="5">
        <f t="shared" si="19"/>
        <v>4</v>
      </c>
      <c r="K366" s="4">
        <v>0</v>
      </c>
      <c r="L366" s="48">
        <v>2</v>
      </c>
      <c r="M366" s="4">
        <v>2</v>
      </c>
      <c r="N366" s="4">
        <f t="shared" si="15"/>
        <v>5</v>
      </c>
      <c r="O366" s="65">
        <f t="shared" si="16"/>
        <v>115000</v>
      </c>
    </row>
    <row r="367" spans="1:15" ht="14.4" x14ac:dyDescent="0.3">
      <c r="A367" s="6">
        <v>46154</v>
      </c>
      <c r="B367" s="49" t="s">
        <v>12</v>
      </c>
      <c r="C367" s="4">
        <v>9</v>
      </c>
      <c r="D367" s="2">
        <f>VLOOKUP(B367,[1]lantai9!$B:$G,6,FALSE)</f>
        <v>21000</v>
      </c>
      <c r="E367" s="2">
        <f>VLOOKUP(B367,karyawan!B:D,3,FALSE)</f>
        <v>20000</v>
      </c>
      <c r="F367" s="2" t="str">
        <f>VLOOKUP(B367,karyawan!B:E,4,FALSE)</f>
        <v>Damaz</v>
      </c>
      <c r="G367" s="3">
        <v>2</v>
      </c>
      <c r="H367" s="66">
        <f t="shared" si="18"/>
        <v>0</v>
      </c>
      <c r="I367" s="4">
        <v>0</v>
      </c>
      <c r="J367" s="5">
        <f t="shared" si="19"/>
        <v>0</v>
      </c>
      <c r="K367" s="4">
        <v>0</v>
      </c>
      <c r="L367" s="48">
        <v>0</v>
      </c>
      <c r="M367" s="4">
        <v>0</v>
      </c>
      <c r="N367" s="4">
        <f t="shared" si="15"/>
        <v>0</v>
      </c>
      <c r="O367" s="65">
        <f t="shared" si="16"/>
        <v>0</v>
      </c>
    </row>
    <row r="368" spans="1:15" ht="14.4" x14ac:dyDescent="0.3">
      <c r="A368" s="6">
        <v>46154</v>
      </c>
      <c r="B368" s="49" t="s">
        <v>11</v>
      </c>
      <c r="C368" s="4">
        <v>9</v>
      </c>
      <c r="D368" s="2">
        <f>VLOOKUP(B368,[1]lantai9!$B:$G,6,FALSE)</f>
        <v>36000</v>
      </c>
      <c r="E368" s="2">
        <f>VLOOKUP(B368,karyawan!B:D,3,FALSE)</f>
        <v>35000</v>
      </c>
      <c r="F368" s="2" t="str">
        <f>VLOOKUP(B368,karyawan!B:E,4,FALSE)</f>
        <v>Damaz</v>
      </c>
      <c r="G368" s="3">
        <v>3</v>
      </c>
      <c r="H368" s="66">
        <f t="shared" si="18"/>
        <v>0</v>
      </c>
      <c r="I368" s="4">
        <v>0</v>
      </c>
      <c r="J368" s="5">
        <f t="shared" si="19"/>
        <v>0</v>
      </c>
      <c r="K368" s="4">
        <v>0</v>
      </c>
      <c r="L368" s="48">
        <v>0</v>
      </c>
      <c r="M368" s="4">
        <v>0</v>
      </c>
      <c r="N368" s="4">
        <f t="shared" si="15"/>
        <v>0</v>
      </c>
      <c r="O368" s="65">
        <f t="shared" si="16"/>
        <v>0</v>
      </c>
    </row>
    <row r="369" spans="1:15" ht="14.4" x14ac:dyDescent="0.3">
      <c r="A369" s="6">
        <v>46154</v>
      </c>
      <c r="B369" s="49" t="s">
        <v>14</v>
      </c>
      <c r="C369" s="4">
        <v>9</v>
      </c>
      <c r="D369" s="2">
        <f>VLOOKUP(B369,[1]lantai9!$B:$G,6,FALSE)</f>
        <v>23000</v>
      </c>
      <c r="E369" s="2">
        <f>VLOOKUP(B369,karyawan!B:D,3,FALSE)</f>
        <v>22000</v>
      </c>
      <c r="F369" s="2" t="str">
        <f>VLOOKUP(B369,karyawan!B:E,4,FALSE)</f>
        <v>Vale</v>
      </c>
      <c r="G369" s="3">
        <v>5</v>
      </c>
      <c r="H369" s="66">
        <f t="shared" si="18"/>
        <v>0</v>
      </c>
      <c r="I369" s="4">
        <v>9</v>
      </c>
      <c r="J369" s="5">
        <f t="shared" si="19"/>
        <v>0</v>
      </c>
      <c r="K369" s="4">
        <v>0</v>
      </c>
      <c r="L369" s="48">
        <v>2</v>
      </c>
      <c r="M369" s="4">
        <v>2</v>
      </c>
      <c r="N369" s="4">
        <f t="shared" si="15"/>
        <v>7</v>
      </c>
      <c r="O369" s="65">
        <f t="shared" si="16"/>
        <v>161000</v>
      </c>
    </row>
    <row r="370" spans="1:15" ht="14.4" x14ac:dyDescent="0.3">
      <c r="A370" s="6">
        <v>46154</v>
      </c>
      <c r="B370" s="49" t="s">
        <v>7</v>
      </c>
      <c r="C370" s="4">
        <v>9</v>
      </c>
      <c r="D370" s="2">
        <f>VLOOKUP(B370,[1]lantai9!$B:$G,6,FALSE)</f>
        <v>15000</v>
      </c>
      <c r="E370" s="2">
        <f>VLOOKUP(B370,karyawan!B:D,3,FALSE)</f>
        <v>14000</v>
      </c>
      <c r="F370" s="2" t="str">
        <f>VLOOKUP(B370,karyawan!B:E,4,FALSE)</f>
        <v>Desy</v>
      </c>
      <c r="G370" s="3">
        <v>6</v>
      </c>
      <c r="H370" s="66">
        <f t="shared" si="18"/>
        <v>8</v>
      </c>
      <c r="I370" s="4">
        <v>0</v>
      </c>
      <c r="J370" s="5">
        <f t="shared" si="19"/>
        <v>6</v>
      </c>
      <c r="K370" s="4">
        <v>0</v>
      </c>
      <c r="L370" s="48">
        <v>0</v>
      </c>
      <c r="M370" s="4">
        <v>0</v>
      </c>
      <c r="N370" s="4">
        <f t="shared" si="15"/>
        <v>0</v>
      </c>
      <c r="O370" s="65">
        <f t="shared" si="16"/>
        <v>0</v>
      </c>
    </row>
    <row r="371" spans="1:15" ht="14.4" x14ac:dyDescent="0.3">
      <c r="A371" s="6">
        <v>46154</v>
      </c>
      <c r="B371" s="49" t="s">
        <v>8</v>
      </c>
      <c r="C371" s="4">
        <v>9</v>
      </c>
      <c r="D371" s="2">
        <f>VLOOKUP(B371,[1]lantai9!$B:$G,6,FALSE)</f>
        <v>18000</v>
      </c>
      <c r="E371" s="2">
        <f>VLOOKUP(B371,karyawan!B:D,3,FALSE)</f>
        <v>17000</v>
      </c>
      <c r="F371" s="2" t="str">
        <f>VLOOKUP(B371,karyawan!B:E,4,FALSE)</f>
        <v>Geby</v>
      </c>
      <c r="G371" s="3">
        <v>4</v>
      </c>
      <c r="H371" s="66">
        <f t="shared" si="18"/>
        <v>0</v>
      </c>
      <c r="I371" s="4">
        <v>0</v>
      </c>
      <c r="J371" s="5">
        <f t="shared" si="19"/>
        <v>0</v>
      </c>
      <c r="K371" s="4">
        <v>0</v>
      </c>
      <c r="L371" s="48">
        <v>-1</v>
      </c>
      <c r="M371" s="4">
        <v>0</v>
      </c>
      <c r="N371" s="4">
        <f t="shared" si="15"/>
        <v>0</v>
      </c>
      <c r="O371" s="65">
        <f t="shared" si="16"/>
        <v>0</v>
      </c>
    </row>
    <row r="372" spans="1:15" ht="14.4" x14ac:dyDescent="0.3">
      <c r="A372" s="6">
        <v>46154</v>
      </c>
      <c r="B372" s="49" t="s">
        <v>9</v>
      </c>
      <c r="C372" s="4">
        <v>9</v>
      </c>
      <c r="D372" s="2">
        <f>VLOOKUP(B372,[1]lantai9!$B:$G,6,FALSE)</f>
        <v>21000</v>
      </c>
      <c r="E372" s="2">
        <f>VLOOKUP(B372,karyawan!B:D,3,FALSE)</f>
        <v>20000</v>
      </c>
      <c r="F372" s="2" t="str">
        <f>VLOOKUP(B372,karyawan!B:E,4,FALSE)</f>
        <v>Geby</v>
      </c>
      <c r="G372" s="3">
        <v>3</v>
      </c>
      <c r="H372" s="66">
        <f t="shared" si="18"/>
        <v>0</v>
      </c>
      <c r="I372" s="4">
        <v>3</v>
      </c>
      <c r="J372" s="5">
        <f t="shared" si="19"/>
        <v>0</v>
      </c>
      <c r="K372" s="4">
        <v>0</v>
      </c>
      <c r="L372" s="48">
        <v>1</v>
      </c>
      <c r="M372" s="4">
        <v>2</v>
      </c>
      <c r="N372" s="4">
        <f t="shared" si="15"/>
        <v>1</v>
      </c>
      <c r="O372" s="65">
        <f t="shared" si="16"/>
        <v>21000</v>
      </c>
    </row>
    <row r="373" spans="1:15" ht="14.4" x14ac:dyDescent="0.3">
      <c r="A373" s="6">
        <v>46154</v>
      </c>
      <c r="B373" s="49" t="s">
        <v>20</v>
      </c>
      <c r="C373" s="4">
        <v>9</v>
      </c>
      <c r="D373" s="2">
        <f>VLOOKUP(B373,[1]lantai9!$B:$G,6,FALSE)</f>
        <v>35000</v>
      </c>
      <c r="E373" s="2">
        <f>VLOOKUP(B373,karyawan!B:D,3,FALSE)</f>
        <v>34000</v>
      </c>
      <c r="F373" s="2" t="str">
        <f>VLOOKUP(B373,karyawan!B:E,4,FALSE)</f>
        <v>Sherly</v>
      </c>
      <c r="G373" s="3">
        <v>2</v>
      </c>
      <c r="H373" s="66">
        <f t="shared" si="18"/>
        <v>14</v>
      </c>
      <c r="I373" s="4">
        <v>2</v>
      </c>
      <c r="J373" s="5">
        <f t="shared" si="19"/>
        <v>0</v>
      </c>
      <c r="K373" s="4">
        <v>0</v>
      </c>
      <c r="L373" s="48">
        <v>0</v>
      </c>
      <c r="M373" s="4">
        <v>2</v>
      </c>
      <c r="N373" s="4">
        <f t="shared" si="15"/>
        <v>0</v>
      </c>
      <c r="O373" s="65">
        <f t="shared" si="16"/>
        <v>0</v>
      </c>
    </row>
    <row r="374" spans="1:15" ht="14.4" x14ac:dyDescent="0.3">
      <c r="A374" s="6">
        <v>46154</v>
      </c>
      <c r="B374" s="49" t="s">
        <v>21</v>
      </c>
      <c r="C374" s="4">
        <v>9</v>
      </c>
      <c r="D374" s="2">
        <f>VLOOKUP(B374,[1]lantai9!$B:$G,6,FALSE)</f>
        <v>40000</v>
      </c>
      <c r="E374" s="2">
        <f>VLOOKUP(B374,karyawan!B:D,3,FALSE)</f>
        <v>39000</v>
      </c>
      <c r="F374" s="2" t="str">
        <f>VLOOKUP(B374,karyawan!B:E,4,FALSE)</f>
        <v>Sherly</v>
      </c>
      <c r="G374" s="3">
        <v>4</v>
      </c>
      <c r="H374" s="66">
        <f t="shared" si="18"/>
        <v>17</v>
      </c>
      <c r="I374" s="4">
        <v>4</v>
      </c>
      <c r="J374" s="5">
        <f t="shared" si="19"/>
        <v>0</v>
      </c>
      <c r="K374" s="4">
        <v>0</v>
      </c>
      <c r="L374" s="48">
        <v>5</v>
      </c>
      <c r="M374" s="4">
        <v>4</v>
      </c>
      <c r="N374" s="4">
        <f t="shared" si="15"/>
        <v>0</v>
      </c>
      <c r="O374" s="65">
        <f t="shared" si="16"/>
        <v>0</v>
      </c>
    </row>
    <row r="375" spans="1:15" ht="14.4" x14ac:dyDescent="0.3">
      <c r="A375" s="6">
        <v>46154</v>
      </c>
      <c r="B375" s="49" t="s">
        <v>19</v>
      </c>
      <c r="C375" s="4">
        <v>9</v>
      </c>
      <c r="D375" s="2">
        <f>VLOOKUP(B375,[1]lantai9!$B:$G,6,FALSE)</f>
        <v>2500</v>
      </c>
      <c r="E375" s="2">
        <f>VLOOKUP(B375,karyawan!B:D,3,FALSE)</f>
        <v>1480</v>
      </c>
      <c r="F375" s="2" t="str">
        <f>VLOOKUP(B375,karyawan!B:E,4,FALSE)</f>
        <v>Compliance</v>
      </c>
      <c r="G375" s="3">
        <v>12</v>
      </c>
      <c r="H375" s="66">
        <f t="shared" si="18"/>
        <v>0</v>
      </c>
      <c r="I375" s="4">
        <v>3</v>
      </c>
      <c r="J375" s="5">
        <f t="shared" si="19"/>
        <v>0</v>
      </c>
      <c r="K375" s="4">
        <v>0</v>
      </c>
      <c r="L375" s="48">
        <v>1</v>
      </c>
      <c r="M375" s="4">
        <v>1</v>
      </c>
      <c r="N375" s="4">
        <f t="shared" si="15"/>
        <v>2</v>
      </c>
      <c r="O375" s="65">
        <f t="shared" si="16"/>
        <v>5000</v>
      </c>
    </row>
    <row r="376" spans="1:15" ht="14.4" x14ac:dyDescent="0.3">
      <c r="A376" s="6">
        <v>46154</v>
      </c>
      <c r="B376" s="49" t="s">
        <v>17</v>
      </c>
      <c r="C376" s="4">
        <v>9</v>
      </c>
      <c r="D376" s="2">
        <f>VLOOKUP(B376,[1]lantai9!$B:$G,6,FALSE)</f>
        <v>2000</v>
      </c>
      <c r="E376" s="2">
        <f>VLOOKUP(B376,karyawan!B:D,3,FALSE)</f>
        <v>1074</v>
      </c>
      <c r="F376" s="2" t="str">
        <f>VLOOKUP(B376,karyawan!B:E,4,FALSE)</f>
        <v>Compliance</v>
      </c>
      <c r="G376" s="3">
        <v>10</v>
      </c>
      <c r="H376" s="66">
        <f t="shared" si="18"/>
        <v>66</v>
      </c>
      <c r="I376" s="4">
        <v>10</v>
      </c>
      <c r="J376" s="5">
        <f t="shared" si="19"/>
        <v>7</v>
      </c>
      <c r="K376" s="4">
        <v>0</v>
      </c>
      <c r="L376" s="48">
        <v>16</v>
      </c>
      <c r="M376" s="4">
        <v>3</v>
      </c>
      <c r="N376" s="4">
        <f t="shared" si="15"/>
        <v>7</v>
      </c>
      <c r="O376" s="65">
        <f t="shared" si="16"/>
        <v>14000</v>
      </c>
    </row>
    <row r="377" spans="1:15" ht="14.4" x14ac:dyDescent="0.3">
      <c r="A377" s="6">
        <v>46154</v>
      </c>
      <c r="B377" s="49" t="s">
        <v>5</v>
      </c>
      <c r="C377" s="4">
        <v>9</v>
      </c>
      <c r="D377" s="2">
        <f>VLOOKUP(B377,[1]lantai9!$B:$G,6,FALSE)</f>
        <v>2500</v>
      </c>
      <c r="E377" s="2">
        <f>VLOOKUP(B377,karyawan!B:D,3,FALSE)</f>
        <v>1465</v>
      </c>
      <c r="F377" s="2" t="str">
        <f>VLOOKUP(B377,karyawan!B:E,4,FALSE)</f>
        <v>Compliance</v>
      </c>
      <c r="G377" s="3">
        <v>10</v>
      </c>
      <c r="H377" s="66">
        <f t="shared" si="18"/>
        <v>59</v>
      </c>
      <c r="I377" s="4">
        <v>11</v>
      </c>
      <c r="J377" s="5">
        <f t="shared" si="19"/>
        <v>2</v>
      </c>
      <c r="K377" s="4">
        <v>0</v>
      </c>
      <c r="L377" s="48">
        <v>8</v>
      </c>
      <c r="M377" s="4">
        <v>8</v>
      </c>
      <c r="N377" s="4">
        <f t="shared" si="15"/>
        <v>3</v>
      </c>
      <c r="O377" s="65">
        <f t="shared" si="16"/>
        <v>7500</v>
      </c>
    </row>
    <row r="378" spans="1:15" ht="14.4" x14ac:dyDescent="0.3">
      <c r="A378" s="6">
        <v>46154</v>
      </c>
      <c r="B378" s="49" t="s">
        <v>3</v>
      </c>
      <c r="C378" s="4">
        <v>9</v>
      </c>
      <c r="D378" s="2">
        <f>VLOOKUP(B378,[1]lantai9!$B:$G,6,FALSE)</f>
        <v>10000</v>
      </c>
      <c r="E378" s="2">
        <f>VLOOKUP(B378,karyawan!B:D,3,FALSE)</f>
        <v>9200</v>
      </c>
      <c r="F378" s="2" t="str">
        <f>VLOOKUP(B378,karyawan!B:E,4,FALSE)</f>
        <v>Compliance</v>
      </c>
      <c r="G378" s="3">
        <v>15</v>
      </c>
      <c r="H378" s="66">
        <f t="shared" si="18"/>
        <v>0</v>
      </c>
      <c r="I378" s="4">
        <v>15</v>
      </c>
      <c r="J378" s="5">
        <f t="shared" si="19"/>
        <v>0</v>
      </c>
      <c r="K378" s="4">
        <v>0</v>
      </c>
      <c r="L378" s="48">
        <v>15</v>
      </c>
      <c r="M378" s="4">
        <v>15</v>
      </c>
      <c r="N378" s="4">
        <f t="shared" si="15"/>
        <v>0</v>
      </c>
      <c r="O378" s="65">
        <f t="shared" si="16"/>
        <v>0</v>
      </c>
    </row>
    <row r="379" spans="1:15" ht="14.4" x14ac:dyDescent="0.3">
      <c r="A379" s="6">
        <v>46154</v>
      </c>
      <c r="B379" s="49" t="s">
        <v>18</v>
      </c>
      <c r="C379" s="4">
        <v>9</v>
      </c>
      <c r="D379" s="2">
        <f>VLOOKUP(B379,[1]lantai9!$B:$G,6,FALSE)</f>
        <v>15000</v>
      </c>
      <c r="E379" s="2">
        <f>VLOOKUP(B379,karyawan!B:D,3,FALSE)</f>
        <v>13807</v>
      </c>
      <c r="F379" s="2" t="str">
        <f>VLOOKUP(B379,karyawan!B:E,4,FALSE)</f>
        <v>Compliance</v>
      </c>
      <c r="G379" s="3">
        <v>10</v>
      </c>
      <c r="H379" s="66">
        <f t="shared" si="18"/>
        <v>4</v>
      </c>
      <c r="I379" s="4">
        <v>11</v>
      </c>
      <c r="J379" s="5">
        <f t="shared" si="19"/>
        <v>4</v>
      </c>
      <c r="K379" s="4">
        <v>0</v>
      </c>
      <c r="L379" s="48">
        <v>2</v>
      </c>
      <c r="M379" s="4">
        <v>2</v>
      </c>
      <c r="N379" s="4">
        <f t="shared" si="15"/>
        <v>9</v>
      </c>
      <c r="O379" s="65">
        <f t="shared" si="16"/>
        <v>135000</v>
      </c>
    </row>
    <row r="380" spans="1:15" ht="14.4" x14ac:dyDescent="0.3">
      <c r="A380" s="6">
        <v>46154</v>
      </c>
      <c r="B380" s="49" t="s">
        <v>10</v>
      </c>
      <c r="C380" s="4">
        <v>9</v>
      </c>
      <c r="D380" s="2">
        <f>VLOOKUP(B380,[1]lantai9!$B:$G,6,FALSE)</f>
        <v>23000</v>
      </c>
      <c r="E380" s="2">
        <f>VLOOKUP(B380,karyawan!B:D,3,FALSE)</f>
        <v>21760</v>
      </c>
      <c r="F380" s="2" t="str">
        <f>VLOOKUP(B380,karyawan!B:E,4,FALSE)</f>
        <v>Compliance</v>
      </c>
      <c r="G380" s="3">
        <v>7</v>
      </c>
      <c r="H380" s="66">
        <f t="shared" si="18"/>
        <v>0</v>
      </c>
      <c r="I380" s="4">
        <v>2</v>
      </c>
      <c r="J380" s="5">
        <f t="shared" si="19"/>
        <v>0</v>
      </c>
      <c r="K380" s="4">
        <v>0</v>
      </c>
      <c r="L380" s="48">
        <v>2</v>
      </c>
      <c r="M380" s="4">
        <v>2</v>
      </c>
      <c r="N380" s="4">
        <f t="shared" si="15"/>
        <v>0</v>
      </c>
      <c r="O380" s="65">
        <f t="shared" si="16"/>
        <v>0</v>
      </c>
    </row>
    <row r="381" spans="1:15" ht="14.4" x14ac:dyDescent="0.3">
      <c r="A381" s="6">
        <v>46154</v>
      </c>
      <c r="B381" s="50" t="s">
        <v>23</v>
      </c>
      <c r="C381" s="4">
        <v>9</v>
      </c>
      <c r="D381" s="2">
        <f>VLOOKUP(B381,[1]lantai9!$B:$G,6,FALSE)</f>
        <v>11000</v>
      </c>
      <c r="E381" s="2">
        <f>VLOOKUP(B381,karyawan!B:D,3,FALSE)</f>
        <v>10000</v>
      </c>
      <c r="F381" s="2" t="str">
        <f>VLOOKUP(B381,karyawan!B:E,4,FALSE)</f>
        <v>Compliance</v>
      </c>
      <c r="G381" s="3">
        <v>8</v>
      </c>
      <c r="H381" s="66">
        <f t="shared" si="18"/>
        <v>6</v>
      </c>
      <c r="I381" s="4">
        <v>8</v>
      </c>
      <c r="J381" s="5">
        <f t="shared" si="19"/>
        <v>3</v>
      </c>
      <c r="K381" s="4">
        <v>0</v>
      </c>
      <c r="L381" s="48">
        <v>6</v>
      </c>
      <c r="M381" s="4">
        <v>5</v>
      </c>
      <c r="N381" s="4">
        <f t="shared" si="15"/>
        <v>3</v>
      </c>
      <c r="O381" s="65">
        <f t="shared" si="16"/>
        <v>33000</v>
      </c>
    </row>
    <row r="382" spans="1:15" ht="14.4" x14ac:dyDescent="0.3">
      <c r="A382" s="6">
        <v>46154</v>
      </c>
      <c r="B382" s="50" t="s">
        <v>24</v>
      </c>
      <c r="C382" s="4">
        <v>9</v>
      </c>
      <c r="D382" s="2">
        <f>VLOOKUP(B382,[1]lantai9!$B:$G,6,FALSE)</f>
        <v>14500</v>
      </c>
      <c r="E382" s="2">
        <f>VLOOKUP(B382,karyawan!B:D,3,FALSE)</f>
        <v>13500</v>
      </c>
      <c r="F382" s="2" t="str">
        <f>VLOOKUP(B382,karyawan!B:E,4,FALSE)</f>
        <v>Compliance</v>
      </c>
      <c r="G382" s="3">
        <v>6</v>
      </c>
      <c r="H382" s="66">
        <f t="shared" si="18"/>
        <v>0</v>
      </c>
      <c r="I382" s="4">
        <v>3</v>
      </c>
      <c r="J382" s="5">
        <f t="shared" si="19"/>
        <v>0</v>
      </c>
      <c r="K382" s="4">
        <v>0</v>
      </c>
      <c r="L382" s="48">
        <v>3</v>
      </c>
      <c r="M382" s="4">
        <v>2</v>
      </c>
      <c r="N382" s="4">
        <f t="shared" si="15"/>
        <v>1</v>
      </c>
      <c r="O382" s="65">
        <f t="shared" si="16"/>
        <v>14500</v>
      </c>
    </row>
    <row r="383" spans="1:15" ht="14.4" x14ac:dyDescent="0.3">
      <c r="A383" s="6">
        <v>46154</v>
      </c>
      <c r="B383" s="50" t="s">
        <v>15</v>
      </c>
      <c r="C383" s="4">
        <v>9</v>
      </c>
      <c r="D383" s="2">
        <f>VLOOKUP(B383,[1]lantai9!$B:$G,6,FALSE)</f>
        <v>3500</v>
      </c>
      <c r="E383" s="2">
        <f>VLOOKUP(B383,karyawan!B:D,3,FALSE)</f>
        <v>2500</v>
      </c>
      <c r="F383" s="2" t="str">
        <f>VLOOKUP(B383,karyawan!B:E,4,FALSE)</f>
        <v>Compliance</v>
      </c>
      <c r="G383" s="3">
        <v>20</v>
      </c>
      <c r="H383" s="66">
        <f t="shared" si="18"/>
        <v>0</v>
      </c>
      <c r="I383" s="4">
        <v>19</v>
      </c>
      <c r="J383" s="5">
        <f t="shared" si="19"/>
        <v>0</v>
      </c>
      <c r="K383" s="4">
        <v>0</v>
      </c>
      <c r="L383" s="48">
        <v>14</v>
      </c>
      <c r="M383" s="4">
        <v>15</v>
      </c>
      <c r="N383" s="4">
        <f t="shared" si="15"/>
        <v>4</v>
      </c>
      <c r="O383" s="65">
        <f t="shared" si="16"/>
        <v>14000</v>
      </c>
    </row>
    <row r="384" spans="1:15" ht="14.4" x14ac:dyDescent="0.3">
      <c r="A384" s="6">
        <v>46154</v>
      </c>
      <c r="B384" s="50" t="s">
        <v>22</v>
      </c>
      <c r="C384" s="4">
        <v>9</v>
      </c>
      <c r="D384" s="2">
        <f>VLOOKUP(B384,[1]lantai9!$B:$G,6,FALSE)</f>
        <v>5500</v>
      </c>
      <c r="E384" s="2">
        <f>VLOOKUP(B384,karyawan!B:D,3,FALSE)</f>
        <v>4500</v>
      </c>
      <c r="F384" s="2" t="str">
        <f>VLOOKUP(B384,karyawan!B:E,4,FALSE)</f>
        <v>Compliance</v>
      </c>
      <c r="G384" s="3">
        <v>8</v>
      </c>
      <c r="H384" s="66">
        <f t="shared" si="18"/>
        <v>14</v>
      </c>
      <c r="I384" s="4">
        <v>8</v>
      </c>
      <c r="J384" s="5">
        <f t="shared" si="19"/>
        <v>3</v>
      </c>
      <c r="K384" s="4">
        <v>0</v>
      </c>
      <c r="L384" s="48">
        <v>5</v>
      </c>
      <c r="M384" s="4">
        <v>5</v>
      </c>
      <c r="N384" s="4">
        <f t="shared" si="15"/>
        <v>3</v>
      </c>
      <c r="O384" s="65">
        <f t="shared" si="16"/>
        <v>16500</v>
      </c>
    </row>
    <row r="385" spans="1:15" ht="14.4" x14ac:dyDescent="0.3">
      <c r="A385" s="6">
        <v>46154</v>
      </c>
      <c r="B385" s="50" t="s">
        <v>25</v>
      </c>
      <c r="C385" s="4">
        <v>9</v>
      </c>
      <c r="D385" s="2">
        <f>VLOOKUP(B385,[1]lantai9!$B:$G,6,FALSE)</f>
        <v>9000</v>
      </c>
      <c r="E385" s="2">
        <f>VLOOKUP(B385,karyawan!B:D,3,FALSE)</f>
        <v>8000</v>
      </c>
      <c r="F385" s="2" t="str">
        <f>VLOOKUP(B385,karyawan!B:E,4,FALSE)</f>
        <v>Compliance</v>
      </c>
      <c r="G385" s="3">
        <v>3</v>
      </c>
      <c r="H385" s="66">
        <f t="shared" si="18"/>
        <v>0</v>
      </c>
      <c r="I385" s="4">
        <v>1</v>
      </c>
      <c r="J385" s="5">
        <f t="shared" si="19"/>
        <v>0</v>
      </c>
      <c r="K385" s="4">
        <v>0</v>
      </c>
      <c r="L385" s="48">
        <v>4</v>
      </c>
      <c r="M385" s="4">
        <v>0</v>
      </c>
      <c r="N385" s="4">
        <f t="shared" si="15"/>
        <v>1</v>
      </c>
      <c r="O385" s="65">
        <f t="shared" si="16"/>
        <v>9000</v>
      </c>
    </row>
    <row r="386" spans="1:15" ht="14.4" x14ac:dyDescent="0.3">
      <c r="A386" s="6">
        <v>46155</v>
      </c>
      <c r="B386" s="49" t="s">
        <v>4</v>
      </c>
      <c r="C386" s="4">
        <v>3</v>
      </c>
      <c r="D386" s="2">
        <f>VLOOKUP(B386,[1]lantai9!$B:$G,6,FALSE)</f>
        <v>35000</v>
      </c>
      <c r="E386" s="2">
        <f>VLOOKUP(B386,karyawan!B:D,3,FALSE)</f>
        <v>34000</v>
      </c>
      <c r="F386" s="2" t="str">
        <f>VLOOKUP(B386,karyawan!B:E,4,FALSE)</f>
        <v>Florida</v>
      </c>
      <c r="G386" s="3">
        <v>5</v>
      </c>
      <c r="H386" s="66">
        <f>IFERROR(Inventory!$D44,"0")</f>
        <v>0</v>
      </c>
      <c r="I386" s="32">
        <f t="shared" ref="I386:I417" si="20">J323+M323+K386</f>
        <v>0</v>
      </c>
      <c r="J386" s="5">
        <f t="shared" si="19"/>
        <v>0</v>
      </c>
      <c r="K386" s="41">
        <v>0</v>
      </c>
      <c r="L386" s="48">
        <v>1</v>
      </c>
      <c r="M386" s="32">
        <v>0</v>
      </c>
      <c r="N386" s="41">
        <f t="shared" ref="N386:N449" si="21">MAX($I386-$M386,0)</f>
        <v>0</v>
      </c>
      <c r="O386" s="67">
        <f t="shared" ref="O386:O449" si="22">N386*D386</f>
        <v>0</v>
      </c>
    </row>
    <row r="387" spans="1:15" ht="14.4" x14ac:dyDescent="0.3">
      <c r="A387" s="6">
        <v>46155</v>
      </c>
      <c r="B387" s="49" t="s">
        <v>13</v>
      </c>
      <c r="C387" s="4">
        <v>3</v>
      </c>
      <c r="D387" s="2">
        <f>VLOOKUP(B387,[1]lantai9!$B:$G,6,FALSE)</f>
        <v>23000</v>
      </c>
      <c r="E387" s="2">
        <f>VLOOKUP(B387,karyawan!B:D,3,FALSE)</f>
        <v>22000</v>
      </c>
      <c r="F387" s="2" t="str">
        <f>VLOOKUP(B387,karyawan!B:E,4,FALSE)</f>
        <v>Yohannes</v>
      </c>
      <c r="G387" s="3">
        <v>6</v>
      </c>
      <c r="H387" s="66">
        <f>IFERROR(Inventory!$D45,"0")</f>
        <v>25</v>
      </c>
      <c r="I387" s="32">
        <f t="shared" si="20"/>
        <v>6</v>
      </c>
      <c r="J387" s="5">
        <f t="shared" si="19"/>
        <v>6</v>
      </c>
      <c r="K387" s="41">
        <v>0</v>
      </c>
      <c r="L387" s="48">
        <v>9</v>
      </c>
      <c r="M387" s="32">
        <v>0</v>
      </c>
      <c r="N387" s="41">
        <f t="shared" si="21"/>
        <v>6</v>
      </c>
      <c r="O387" s="67">
        <f t="shared" si="22"/>
        <v>138000</v>
      </c>
    </row>
    <row r="388" spans="1:15" ht="14.4" x14ac:dyDescent="0.3">
      <c r="A388" s="6">
        <v>46155</v>
      </c>
      <c r="B388" s="49" t="s">
        <v>12</v>
      </c>
      <c r="C388" s="4">
        <v>3</v>
      </c>
      <c r="D388" s="2">
        <f>VLOOKUP(B388,[1]lantai9!$B:$G,6,FALSE)</f>
        <v>21000</v>
      </c>
      <c r="E388" s="2">
        <f>VLOOKUP(B388,karyawan!B:D,3,FALSE)</f>
        <v>20000</v>
      </c>
      <c r="F388" s="2" t="str">
        <f>VLOOKUP(B388,karyawan!B:E,4,FALSE)</f>
        <v>Damaz</v>
      </c>
      <c r="G388" s="3">
        <v>2</v>
      </c>
      <c r="H388" s="66">
        <f>IFERROR(Inventory!$D46,"0")</f>
        <v>0</v>
      </c>
      <c r="I388" s="32">
        <f t="shared" si="20"/>
        <v>1</v>
      </c>
      <c r="J388" s="5">
        <f t="shared" si="19"/>
        <v>0</v>
      </c>
      <c r="K388" s="41">
        <v>0</v>
      </c>
      <c r="L388" s="48">
        <v>-1</v>
      </c>
      <c r="M388" s="32">
        <v>1</v>
      </c>
      <c r="N388" s="41">
        <f t="shared" si="21"/>
        <v>0</v>
      </c>
      <c r="O388" s="67">
        <f t="shared" si="22"/>
        <v>0</v>
      </c>
    </row>
    <row r="389" spans="1:15" ht="14.4" x14ac:dyDescent="0.3">
      <c r="A389" s="6">
        <v>46155</v>
      </c>
      <c r="B389" s="49" t="s">
        <v>11</v>
      </c>
      <c r="C389" s="4">
        <v>3</v>
      </c>
      <c r="D389" s="2">
        <f>VLOOKUP(B389,[1]lantai9!$B:$G,6,FALSE)</f>
        <v>36000</v>
      </c>
      <c r="E389" s="2">
        <f>VLOOKUP(B389,karyawan!B:D,3,FALSE)</f>
        <v>35000</v>
      </c>
      <c r="F389" s="2" t="str">
        <f>VLOOKUP(B389,karyawan!B:E,4,FALSE)</f>
        <v>Damaz</v>
      </c>
      <c r="G389" s="3">
        <v>3</v>
      </c>
      <c r="H389" s="66">
        <f>IFERROR(Inventory!$D47,"0")</f>
        <v>0</v>
      </c>
      <c r="I389" s="32">
        <f t="shared" si="20"/>
        <v>2</v>
      </c>
      <c r="J389" s="5">
        <f t="shared" si="19"/>
        <v>0</v>
      </c>
      <c r="K389" s="41">
        <v>0</v>
      </c>
      <c r="L389" s="48">
        <v>2</v>
      </c>
      <c r="M389" s="32">
        <v>2</v>
      </c>
      <c r="N389" s="41">
        <f t="shared" si="21"/>
        <v>0</v>
      </c>
      <c r="O389" s="67">
        <f t="shared" si="22"/>
        <v>0</v>
      </c>
    </row>
    <row r="390" spans="1:15" ht="14.4" x14ac:dyDescent="0.3">
      <c r="A390" s="6">
        <v>46155</v>
      </c>
      <c r="B390" s="49" t="s">
        <v>14</v>
      </c>
      <c r="C390" s="4">
        <v>3</v>
      </c>
      <c r="D390" s="2">
        <f>VLOOKUP(B390,[1]lantai9!$B:$G,6,FALSE)</f>
        <v>23000</v>
      </c>
      <c r="E390" s="2">
        <f>VLOOKUP(B390,karyawan!B:D,3,FALSE)</f>
        <v>22000</v>
      </c>
      <c r="F390" s="2" t="str">
        <f>VLOOKUP(B390,karyawan!B:E,4,FALSE)</f>
        <v>Vale</v>
      </c>
      <c r="G390" s="3">
        <v>5</v>
      </c>
      <c r="H390" s="66">
        <f>IFERROR(Inventory!$D48,"0")</f>
        <v>7</v>
      </c>
      <c r="I390" s="32">
        <f t="shared" si="20"/>
        <v>0</v>
      </c>
      <c r="J390" s="5">
        <v>2</v>
      </c>
      <c r="K390" s="41">
        <v>0</v>
      </c>
      <c r="L390" s="48">
        <v>2</v>
      </c>
      <c r="M390" s="32">
        <v>0</v>
      </c>
      <c r="N390" s="41">
        <f t="shared" si="21"/>
        <v>0</v>
      </c>
      <c r="O390" s="67">
        <f t="shared" si="22"/>
        <v>0</v>
      </c>
    </row>
    <row r="391" spans="1:15" ht="14.4" x14ac:dyDescent="0.3">
      <c r="A391" s="6">
        <v>46155</v>
      </c>
      <c r="B391" s="49" t="s">
        <v>7</v>
      </c>
      <c r="C391" s="4">
        <v>3</v>
      </c>
      <c r="D391" s="2">
        <f>VLOOKUP(B391,[1]lantai9!$B:$G,6,FALSE)</f>
        <v>15000</v>
      </c>
      <c r="E391" s="2">
        <f>VLOOKUP(B391,karyawan!B:D,3,FALSE)</f>
        <v>14000</v>
      </c>
      <c r="F391" s="2" t="str">
        <f>VLOOKUP(B391,karyawan!B:E,4,FALSE)</f>
        <v>Desy</v>
      </c>
      <c r="G391" s="3">
        <v>6</v>
      </c>
      <c r="H391" s="66">
        <f>IFERROR(Inventory!$D49,"0")</f>
        <v>2</v>
      </c>
      <c r="I391" s="32">
        <f t="shared" si="20"/>
        <v>6</v>
      </c>
      <c r="J391" s="5">
        <v>0</v>
      </c>
      <c r="K391" s="41">
        <v>0</v>
      </c>
      <c r="L391" s="48">
        <v>3</v>
      </c>
      <c r="M391" s="32">
        <v>2</v>
      </c>
      <c r="N391" s="41">
        <f t="shared" si="21"/>
        <v>4</v>
      </c>
      <c r="O391" s="67">
        <f t="shared" si="22"/>
        <v>60000</v>
      </c>
    </row>
    <row r="392" spans="1:15" ht="14.4" x14ac:dyDescent="0.3">
      <c r="A392" s="6">
        <v>46155</v>
      </c>
      <c r="B392" s="49" t="s">
        <v>8</v>
      </c>
      <c r="C392" s="4">
        <v>3</v>
      </c>
      <c r="D392" s="2">
        <f>VLOOKUP(B392,[1]lantai9!$B:$G,6,FALSE)</f>
        <v>18000</v>
      </c>
      <c r="E392" s="2">
        <f>VLOOKUP(B392,karyawan!B:D,3,FALSE)</f>
        <v>17000</v>
      </c>
      <c r="F392" s="2" t="str">
        <f>VLOOKUP(B392,karyawan!B:E,4,FALSE)</f>
        <v>Geby</v>
      </c>
      <c r="G392" s="3">
        <v>4</v>
      </c>
      <c r="H392" s="66">
        <f>IFERROR(Inventory!$D50,"0")</f>
        <v>0</v>
      </c>
      <c r="I392" s="32">
        <f t="shared" si="20"/>
        <v>2</v>
      </c>
      <c r="J392" s="5">
        <f t="shared" ref="J392:J399" si="23">IF(H392&gt;MAX(G392-M392,0),MAX(G392-M392,0),H392)</f>
        <v>0</v>
      </c>
      <c r="K392" s="41">
        <v>0</v>
      </c>
      <c r="L392" s="48">
        <v>0</v>
      </c>
      <c r="M392" s="32">
        <v>1</v>
      </c>
      <c r="N392" s="41">
        <f t="shared" si="21"/>
        <v>1</v>
      </c>
      <c r="O392" s="67">
        <f t="shared" si="22"/>
        <v>18000</v>
      </c>
    </row>
    <row r="393" spans="1:15" ht="14.4" x14ac:dyDescent="0.3">
      <c r="A393" s="6">
        <v>46155</v>
      </c>
      <c r="B393" s="49" t="s">
        <v>9</v>
      </c>
      <c r="C393" s="4">
        <v>3</v>
      </c>
      <c r="D393" s="2">
        <f>VLOOKUP(B393,[1]lantai9!$B:$G,6,FALSE)</f>
        <v>21000</v>
      </c>
      <c r="E393" s="2">
        <f>VLOOKUP(B393,karyawan!B:D,3,FALSE)</f>
        <v>20000</v>
      </c>
      <c r="F393" s="2" t="str">
        <f>VLOOKUP(B393,karyawan!B:E,4,FALSE)</f>
        <v>Geby</v>
      </c>
      <c r="G393" s="3">
        <v>3</v>
      </c>
      <c r="H393" s="66">
        <f>IFERROR(Inventory!$D51,"0")</f>
        <v>0</v>
      </c>
      <c r="I393" s="32">
        <f t="shared" si="20"/>
        <v>0</v>
      </c>
      <c r="J393" s="5">
        <f t="shared" si="23"/>
        <v>0</v>
      </c>
      <c r="K393" s="41">
        <v>0</v>
      </c>
      <c r="L393" s="48">
        <v>0</v>
      </c>
      <c r="M393" s="32">
        <v>0</v>
      </c>
      <c r="N393" s="41">
        <f t="shared" si="21"/>
        <v>0</v>
      </c>
      <c r="O393" s="67">
        <f t="shared" si="22"/>
        <v>0</v>
      </c>
    </row>
    <row r="394" spans="1:15" ht="14.4" x14ac:dyDescent="0.3">
      <c r="A394" s="6">
        <v>46155</v>
      </c>
      <c r="B394" s="49" t="s">
        <v>20</v>
      </c>
      <c r="C394" s="4">
        <v>3</v>
      </c>
      <c r="D394" s="2">
        <f>VLOOKUP(B394,[1]lantai9!$B:$G,6,FALSE)</f>
        <v>35000</v>
      </c>
      <c r="E394" s="2">
        <f>VLOOKUP(B394,karyawan!B:D,3,FALSE)</f>
        <v>34000</v>
      </c>
      <c r="F394" s="2" t="str">
        <f>VLOOKUP(B394,karyawan!B:E,4,FALSE)</f>
        <v>Sherly</v>
      </c>
      <c r="G394" s="3">
        <v>2</v>
      </c>
      <c r="H394" s="66">
        <f>IFERROR(Inventory!$D52,"0")</f>
        <v>14</v>
      </c>
      <c r="I394" s="32">
        <f t="shared" si="20"/>
        <v>2</v>
      </c>
      <c r="J394" s="5">
        <f t="shared" si="23"/>
        <v>2</v>
      </c>
      <c r="K394" s="41">
        <v>0</v>
      </c>
      <c r="L394" s="48">
        <v>0</v>
      </c>
      <c r="M394" s="32">
        <v>0</v>
      </c>
      <c r="N394" s="41">
        <f t="shared" si="21"/>
        <v>2</v>
      </c>
      <c r="O394" s="67">
        <f t="shared" si="22"/>
        <v>70000</v>
      </c>
    </row>
    <row r="395" spans="1:15" ht="14.4" x14ac:dyDescent="0.3">
      <c r="A395" s="6">
        <v>46155</v>
      </c>
      <c r="B395" s="49" t="s">
        <v>21</v>
      </c>
      <c r="C395" s="4">
        <v>3</v>
      </c>
      <c r="D395" s="2">
        <f>VLOOKUP(B395,[1]lantai9!$B:$G,6,FALSE)</f>
        <v>40000</v>
      </c>
      <c r="E395" s="2">
        <f>VLOOKUP(B395,karyawan!B:D,3,FALSE)</f>
        <v>39000</v>
      </c>
      <c r="F395" s="2" t="str">
        <f>VLOOKUP(B395,karyawan!B:E,4,FALSE)</f>
        <v>Sherly</v>
      </c>
      <c r="G395" s="3">
        <v>4</v>
      </c>
      <c r="H395" s="66">
        <f>IFERROR(Inventory!$D53,"0")</f>
        <v>17</v>
      </c>
      <c r="I395" s="32">
        <f t="shared" si="20"/>
        <v>4</v>
      </c>
      <c r="J395" s="5">
        <f t="shared" si="23"/>
        <v>4</v>
      </c>
      <c r="K395" s="41">
        <v>0</v>
      </c>
      <c r="L395" s="48">
        <v>1</v>
      </c>
      <c r="M395" s="32">
        <v>0</v>
      </c>
      <c r="N395" s="41">
        <f t="shared" si="21"/>
        <v>4</v>
      </c>
      <c r="O395" s="67">
        <f t="shared" si="22"/>
        <v>160000</v>
      </c>
    </row>
    <row r="396" spans="1:15" ht="14.4" x14ac:dyDescent="0.3">
      <c r="A396" s="6">
        <v>46155</v>
      </c>
      <c r="B396" s="49" t="s">
        <v>19</v>
      </c>
      <c r="C396" s="4">
        <v>3</v>
      </c>
      <c r="D396" s="2">
        <f>VLOOKUP(B396,[1]lantai9!$B:$G,6,FALSE)</f>
        <v>2500</v>
      </c>
      <c r="E396" s="2">
        <f>VLOOKUP(B396,karyawan!B:D,3,FALSE)</f>
        <v>1480</v>
      </c>
      <c r="F396" s="2" t="str">
        <f>VLOOKUP(B396,karyawan!B:E,4,FALSE)</f>
        <v>Compliance</v>
      </c>
      <c r="G396" s="3">
        <v>12</v>
      </c>
      <c r="H396" s="66">
        <f>IFERROR(Inventory!$D54,"0")</f>
        <v>0</v>
      </c>
      <c r="I396" s="32">
        <f t="shared" si="20"/>
        <v>3</v>
      </c>
      <c r="J396" s="5">
        <f t="shared" si="23"/>
        <v>0</v>
      </c>
      <c r="K396" s="41">
        <v>0</v>
      </c>
      <c r="L396" s="48">
        <v>2</v>
      </c>
      <c r="M396" s="32">
        <v>2</v>
      </c>
      <c r="N396" s="41">
        <f t="shared" si="21"/>
        <v>1</v>
      </c>
      <c r="O396" s="67">
        <f t="shared" si="22"/>
        <v>2500</v>
      </c>
    </row>
    <row r="397" spans="1:15" ht="14.4" x14ac:dyDescent="0.3">
      <c r="A397" s="6">
        <v>46155</v>
      </c>
      <c r="B397" s="49" t="s">
        <v>17</v>
      </c>
      <c r="C397" s="4">
        <v>3</v>
      </c>
      <c r="D397" s="2">
        <f>VLOOKUP(B397,[1]lantai9!$B:$G,6,FALSE)</f>
        <v>2000</v>
      </c>
      <c r="E397" s="2">
        <f>VLOOKUP(B397,karyawan!B:D,3,FALSE)</f>
        <v>1074</v>
      </c>
      <c r="F397" s="2" t="str">
        <f>VLOOKUP(B397,karyawan!B:E,4,FALSE)</f>
        <v>Compliance</v>
      </c>
      <c r="G397" s="3">
        <v>10</v>
      </c>
      <c r="H397" s="66">
        <f>IFERROR(Inventory!$D55,"0")</f>
        <v>59</v>
      </c>
      <c r="I397" s="32">
        <f t="shared" si="20"/>
        <v>10</v>
      </c>
      <c r="J397" s="5">
        <f t="shared" si="23"/>
        <v>1</v>
      </c>
      <c r="K397" s="41">
        <v>0</v>
      </c>
      <c r="L397" s="48">
        <v>13</v>
      </c>
      <c r="M397" s="32">
        <v>9</v>
      </c>
      <c r="N397" s="41">
        <f t="shared" si="21"/>
        <v>1</v>
      </c>
      <c r="O397" s="67">
        <f t="shared" si="22"/>
        <v>2000</v>
      </c>
    </row>
    <row r="398" spans="1:15" ht="14.4" x14ac:dyDescent="0.3">
      <c r="A398" s="6">
        <v>46155</v>
      </c>
      <c r="B398" s="49" t="s">
        <v>5</v>
      </c>
      <c r="C398" s="4">
        <v>3</v>
      </c>
      <c r="D398" s="2">
        <f>VLOOKUP(B398,[1]lantai9!$B:$G,6,FALSE)</f>
        <v>2500</v>
      </c>
      <c r="E398" s="2">
        <f>VLOOKUP(B398,karyawan!B:D,3,FALSE)</f>
        <v>1465</v>
      </c>
      <c r="F398" s="2" t="str">
        <f>VLOOKUP(B398,karyawan!B:E,4,FALSE)</f>
        <v>Compliance</v>
      </c>
      <c r="G398" s="3">
        <v>10</v>
      </c>
      <c r="H398" s="66">
        <f>IFERROR(Inventory!$D56,"0")</f>
        <v>57</v>
      </c>
      <c r="I398" s="32">
        <f t="shared" si="20"/>
        <v>10</v>
      </c>
      <c r="J398" s="5">
        <f t="shared" si="23"/>
        <v>6</v>
      </c>
      <c r="K398" s="41">
        <v>0</v>
      </c>
      <c r="L398" s="48">
        <v>6</v>
      </c>
      <c r="M398" s="32">
        <v>4</v>
      </c>
      <c r="N398" s="41">
        <f t="shared" si="21"/>
        <v>6</v>
      </c>
      <c r="O398" s="67">
        <f t="shared" si="22"/>
        <v>15000</v>
      </c>
    </row>
    <row r="399" spans="1:15" ht="14.4" x14ac:dyDescent="0.3">
      <c r="A399" s="6">
        <v>46155</v>
      </c>
      <c r="B399" s="49" t="s">
        <v>3</v>
      </c>
      <c r="C399" s="4">
        <v>3</v>
      </c>
      <c r="D399" s="2">
        <f>VLOOKUP(B399,[1]lantai9!$B:$G,6,FALSE)</f>
        <v>10000</v>
      </c>
      <c r="E399" s="2">
        <f>VLOOKUP(B399,karyawan!B:D,3,FALSE)</f>
        <v>9200</v>
      </c>
      <c r="F399" s="2" t="str">
        <f>VLOOKUP(B399,karyawan!B:E,4,FALSE)</f>
        <v>Compliance</v>
      </c>
      <c r="G399" s="3">
        <v>15</v>
      </c>
      <c r="H399" s="66">
        <f>IFERROR(Inventory!$D57,"0")</f>
        <v>20</v>
      </c>
      <c r="I399" s="32">
        <f t="shared" si="20"/>
        <v>15</v>
      </c>
      <c r="J399" s="5">
        <f t="shared" si="23"/>
        <v>1</v>
      </c>
      <c r="K399" s="41">
        <v>0</v>
      </c>
      <c r="L399" s="48">
        <v>14</v>
      </c>
      <c r="M399" s="32">
        <v>14</v>
      </c>
      <c r="N399" s="41">
        <f t="shared" si="21"/>
        <v>1</v>
      </c>
      <c r="O399" s="67">
        <f t="shared" si="22"/>
        <v>10000</v>
      </c>
    </row>
    <row r="400" spans="1:15" ht="14.4" x14ac:dyDescent="0.3">
      <c r="A400" s="6">
        <v>46155</v>
      </c>
      <c r="B400" s="49" t="s">
        <v>18</v>
      </c>
      <c r="C400" s="4">
        <v>3</v>
      </c>
      <c r="D400" s="2">
        <f>VLOOKUP(B400,[1]lantai9!$B:$G,6,FALSE)</f>
        <v>15000</v>
      </c>
      <c r="E400" s="2">
        <f>VLOOKUP(B400,karyawan!B:D,3,FALSE)</f>
        <v>13807</v>
      </c>
      <c r="F400" s="2" t="str">
        <f>VLOOKUP(B400,karyawan!B:E,4,FALSE)</f>
        <v>Compliance</v>
      </c>
      <c r="G400" s="3">
        <v>10</v>
      </c>
      <c r="H400" s="66">
        <f>IFERROR(Inventory!$D58,"0")</f>
        <v>20</v>
      </c>
      <c r="I400" s="32">
        <f t="shared" si="20"/>
        <v>10</v>
      </c>
      <c r="J400" s="5">
        <v>0</v>
      </c>
      <c r="K400" s="41">
        <v>0</v>
      </c>
      <c r="L400" s="48">
        <v>7</v>
      </c>
      <c r="M400" s="32">
        <v>5</v>
      </c>
      <c r="N400" s="41">
        <f t="shared" si="21"/>
        <v>5</v>
      </c>
      <c r="O400" s="67">
        <f t="shared" si="22"/>
        <v>75000</v>
      </c>
    </row>
    <row r="401" spans="1:15" ht="14.4" x14ac:dyDescent="0.3">
      <c r="A401" s="6">
        <v>46155</v>
      </c>
      <c r="B401" s="49" t="s">
        <v>10</v>
      </c>
      <c r="C401" s="4">
        <v>3</v>
      </c>
      <c r="D401" s="2">
        <f>VLOOKUP(B401,[1]lantai9!$B:$G,6,FALSE)</f>
        <v>23000</v>
      </c>
      <c r="E401" s="2">
        <f>VLOOKUP(B401,karyawan!B:D,3,FALSE)</f>
        <v>21760</v>
      </c>
      <c r="F401" s="2" t="str">
        <f>VLOOKUP(B401,karyawan!B:E,4,FALSE)</f>
        <v>Compliance</v>
      </c>
      <c r="G401" s="3">
        <v>7</v>
      </c>
      <c r="H401" s="66">
        <f>IFERROR(Inventory!$D59,"0")</f>
        <v>0</v>
      </c>
      <c r="I401" s="32">
        <f t="shared" si="20"/>
        <v>5</v>
      </c>
      <c r="J401" s="5">
        <f>IF(H401&gt;MAX(G401-M401,0),MAX(G401-M401,0),H401)</f>
        <v>0</v>
      </c>
      <c r="K401" s="41">
        <v>0</v>
      </c>
      <c r="L401" s="48">
        <v>4</v>
      </c>
      <c r="M401" s="32">
        <v>4</v>
      </c>
      <c r="N401" s="41">
        <f t="shared" si="21"/>
        <v>1</v>
      </c>
      <c r="O401" s="67">
        <f t="shared" si="22"/>
        <v>23000</v>
      </c>
    </row>
    <row r="402" spans="1:15" ht="14.4" x14ac:dyDescent="0.3">
      <c r="A402" s="6">
        <v>46155</v>
      </c>
      <c r="B402" s="50" t="s">
        <v>23</v>
      </c>
      <c r="C402" s="4">
        <v>3</v>
      </c>
      <c r="D402" s="2">
        <f>VLOOKUP(B402,[1]lantai9!$B:$G,6,FALSE)</f>
        <v>11000</v>
      </c>
      <c r="E402" s="2">
        <f>VLOOKUP(B402,karyawan!B:D,3,FALSE)</f>
        <v>10000</v>
      </c>
      <c r="F402" s="2" t="str">
        <f>VLOOKUP(B402,karyawan!B:E,4,FALSE)</f>
        <v>Compliance</v>
      </c>
      <c r="G402" s="3">
        <v>8</v>
      </c>
      <c r="H402" s="66">
        <f>IFERROR(Inventory!$D60,"0")</f>
        <v>3</v>
      </c>
      <c r="I402" s="32">
        <f t="shared" si="20"/>
        <v>8</v>
      </c>
      <c r="J402" s="5">
        <v>1</v>
      </c>
      <c r="K402" s="41">
        <v>0</v>
      </c>
      <c r="L402" s="48">
        <v>5</v>
      </c>
      <c r="M402" s="32">
        <v>6</v>
      </c>
      <c r="N402" s="41">
        <f t="shared" si="21"/>
        <v>2</v>
      </c>
      <c r="O402" s="67">
        <f t="shared" si="22"/>
        <v>22000</v>
      </c>
    </row>
    <row r="403" spans="1:15" ht="14.4" x14ac:dyDescent="0.3">
      <c r="A403" s="6">
        <v>46155</v>
      </c>
      <c r="B403" s="50" t="s">
        <v>24</v>
      </c>
      <c r="C403" s="4">
        <v>3</v>
      </c>
      <c r="D403" s="2">
        <f>VLOOKUP(B403,[1]lantai9!$B:$G,6,FALSE)</f>
        <v>14500</v>
      </c>
      <c r="E403" s="2">
        <f>VLOOKUP(B403,karyawan!B:D,3,FALSE)</f>
        <v>13500</v>
      </c>
      <c r="F403" s="2" t="str">
        <f>VLOOKUP(B403,karyawan!B:E,4,FALSE)</f>
        <v>Compliance</v>
      </c>
      <c r="G403" s="3">
        <v>6</v>
      </c>
      <c r="H403" s="66">
        <f>IFERROR(Inventory!$D61,"0")</f>
        <v>0</v>
      </c>
      <c r="I403" s="32">
        <f t="shared" si="20"/>
        <v>4</v>
      </c>
      <c r="J403" s="5">
        <f t="shared" ref="J403:J410" si="24">IF(H403&gt;MAX(G403-M403,0),MAX(G403-M403,0),H403)</f>
        <v>0</v>
      </c>
      <c r="K403" s="41">
        <v>0</v>
      </c>
      <c r="L403" s="48">
        <v>4</v>
      </c>
      <c r="M403" s="32">
        <v>3</v>
      </c>
      <c r="N403" s="41">
        <f t="shared" si="21"/>
        <v>1</v>
      </c>
      <c r="O403" s="67">
        <f t="shared" si="22"/>
        <v>14500</v>
      </c>
    </row>
    <row r="404" spans="1:15" ht="14.4" x14ac:dyDescent="0.3">
      <c r="A404" s="6">
        <v>46155</v>
      </c>
      <c r="B404" s="50" t="s">
        <v>15</v>
      </c>
      <c r="C404" s="4">
        <v>3</v>
      </c>
      <c r="D404" s="2">
        <f>VLOOKUP(B404,[1]lantai9!$B:$G,6,FALSE)</f>
        <v>3500</v>
      </c>
      <c r="E404" s="2">
        <f>VLOOKUP(B404,karyawan!B:D,3,FALSE)</f>
        <v>2500</v>
      </c>
      <c r="F404" s="2" t="str">
        <f>VLOOKUP(B404,karyawan!B:E,4,FALSE)</f>
        <v>Compliance</v>
      </c>
      <c r="G404" s="3">
        <v>20</v>
      </c>
      <c r="H404" s="66">
        <f>IFERROR(Inventory!$D62,"0")</f>
        <v>0</v>
      </c>
      <c r="I404" s="32">
        <f t="shared" si="20"/>
        <v>5</v>
      </c>
      <c r="J404" s="5">
        <f t="shared" si="24"/>
        <v>0</v>
      </c>
      <c r="K404" s="41">
        <v>0</v>
      </c>
      <c r="L404" s="48">
        <v>5</v>
      </c>
      <c r="M404" s="32">
        <v>5</v>
      </c>
      <c r="N404" s="41">
        <f t="shared" si="21"/>
        <v>0</v>
      </c>
      <c r="O404" s="67">
        <f t="shared" si="22"/>
        <v>0</v>
      </c>
    </row>
    <row r="405" spans="1:15" ht="14.4" x14ac:dyDescent="0.3">
      <c r="A405" s="6">
        <v>46155</v>
      </c>
      <c r="B405" s="50" t="s">
        <v>22</v>
      </c>
      <c r="C405" s="4">
        <v>3</v>
      </c>
      <c r="D405" s="2">
        <f>VLOOKUP(B405,[1]lantai9!$B:$G,6,FALSE)</f>
        <v>5500</v>
      </c>
      <c r="E405" s="2">
        <f>VLOOKUP(B405,karyawan!B:D,3,FALSE)</f>
        <v>4500</v>
      </c>
      <c r="F405" s="2" t="str">
        <f>VLOOKUP(B405,karyawan!B:E,4,FALSE)</f>
        <v>Compliance</v>
      </c>
      <c r="G405" s="3">
        <v>8</v>
      </c>
      <c r="H405" s="66">
        <f>IFERROR(Inventory!$D63,"0")</f>
        <v>11</v>
      </c>
      <c r="I405" s="32">
        <f t="shared" si="20"/>
        <v>8</v>
      </c>
      <c r="J405" s="5">
        <f t="shared" si="24"/>
        <v>0</v>
      </c>
      <c r="K405" s="41">
        <v>0</v>
      </c>
      <c r="L405" s="48">
        <v>10</v>
      </c>
      <c r="M405" s="32">
        <v>9</v>
      </c>
      <c r="N405" s="41">
        <f t="shared" si="21"/>
        <v>0</v>
      </c>
      <c r="O405" s="67">
        <f t="shared" si="22"/>
        <v>0</v>
      </c>
    </row>
    <row r="406" spans="1:15" ht="14.4" x14ac:dyDescent="0.3">
      <c r="A406" s="6">
        <v>46155</v>
      </c>
      <c r="B406" s="50" t="s">
        <v>25</v>
      </c>
      <c r="C406" s="4">
        <v>3</v>
      </c>
      <c r="D406" s="2">
        <f>VLOOKUP(B406,[1]lantai9!$B:$G,6,FALSE)</f>
        <v>9000</v>
      </c>
      <c r="E406" s="2">
        <f>VLOOKUP(B406,karyawan!B:D,3,FALSE)</f>
        <v>8000</v>
      </c>
      <c r="F406" s="2" t="str">
        <f>VLOOKUP(B406,karyawan!B:E,4,FALSE)</f>
        <v>Compliance</v>
      </c>
      <c r="G406" s="3">
        <v>3</v>
      </c>
      <c r="H406" s="66">
        <f>IFERROR(Inventory!$D64,"0")</f>
        <v>0</v>
      </c>
      <c r="I406" s="32">
        <f t="shared" si="20"/>
        <v>2</v>
      </c>
      <c r="J406" s="5">
        <f t="shared" si="24"/>
        <v>0</v>
      </c>
      <c r="K406" s="41">
        <v>0</v>
      </c>
      <c r="L406" s="48">
        <v>10</v>
      </c>
      <c r="M406" s="32">
        <v>0</v>
      </c>
      <c r="N406" s="41">
        <f t="shared" si="21"/>
        <v>2</v>
      </c>
      <c r="O406" s="67">
        <f t="shared" si="22"/>
        <v>18000</v>
      </c>
    </row>
    <row r="407" spans="1:15" ht="14.4" x14ac:dyDescent="0.3">
      <c r="A407" s="6">
        <v>46155</v>
      </c>
      <c r="B407" s="49" t="s">
        <v>4</v>
      </c>
      <c r="C407" s="4">
        <v>8</v>
      </c>
      <c r="D407" s="2">
        <f>VLOOKUP(B407,[1]lantai9!$B:$G,6,FALSE)</f>
        <v>35000</v>
      </c>
      <c r="E407" s="2">
        <f>VLOOKUP(B407,karyawan!B:D,3,FALSE)</f>
        <v>34000</v>
      </c>
      <c r="F407" s="2" t="str">
        <f>VLOOKUP(B407,karyawan!B:E,4,FALSE)</f>
        <v>Florida</v>
      </c>
      <c r="G407" s="3">
        <v>5</v>
      </c>
      <c r="H407" s="66">
        <f t="shared" ref="H407:H448" si="25">H386-J386</f>
        <v>0</v>
      </c>
      <c r="I407" s="32">
        <f t="shared" si="20"/>
        <v>4</v>
      </c>
      <c r="J407" s="5">
        <f t="shared" si="24"/>
        <v>0</v>
      </c>
      <c r="K407" s="41">
        <v>0</v>
      </c>
      <c r="L407" s="48">
        <v>4</v>
      </c>
      <c r="M407" s="32">
        <v>4</v>
      </c>
      <c r="N407" s="41">
        <f t="shared" si="21"/>
        <v>0</v>
      </c>
      <c r="O407" s="67">
        <f t="shared" si="22"/>
        <v>0</v>
      </c>
    </row>
    <row r="408" spans="1:15" ht="14.4" x14ac:dyDescent="0.3">
      <c r="A408" s="6">
        <v>46155</v>
      </c>
      <c r="B408" s="49" t="s">
        <v>13</v>
      </c>
      <c r="C408" s="4">
        <v>8</v>
      </c>
      <c r="D408" s="2">
        <f>VLOOKUP(B408,[1]lantai9!$B:$G,6,FALSE)</f>
        <v>23000</v>
      </c>
      <c r="E408" s="2">
        <f>VLOOKUP(B408,karyawan!B:D,3,FALSE)</f>
        <v>22000</v>
      </c>
      <c r="F408" s="2" t="str">
        <f>VLOOKUP(B408,karyawan!B:E,4,FALSE)</f>
        <v>Yohannes</v>
      </c>
      <c r="G408" s="3">
        <v>6</v>
      </c>
      <c r="H408" s="66">
        <f t="shared" si="25"/>
        <v>19</v>
      </c>
      <c r="I408" s="32">
        <f t="shared" si="20"/>
        <v>6</v>
      </c>
      <c r="J408" s="5">
        <f t="shared" si="24"/>
        <v>5</v>
      </c>
      <c r="K408" s="41">
        <v>0</v>
      </c>
      <c r="L408" s="48">
        <v>11</v>
      </c>
      <c r="M408" s="32">
        <v>1</v>
      </c>
      <c r="N408" s="41">
        <f t="shared" si="21"/>
        <v>5</v>
      </c>
      <c r="O408" s="67">
        <f t="shared" si="22"/>
        <v>115000</v>
      </c>
    </row>
    <row r="409" spans="1:15" ht="14.4" x14ac:dyDescent="0.3">
      <c r="A409" s="6">
        <v>46155</v>
      </c>
      <c r="B409" s="49" t="s">
        <v>12</v>
      </c>
      <c r="C409" s="4">
        <v>8</v>
      </c>
      <c r="D409" s="2">
        <f>VLOOKUP(B409,[1]lantai9!$B:$G,6,FALSE)</f>
        <v>21000</v>
      </c>
      <c r="E409" s="2">
        <f>VLOOKUP(B409,karyawan!B:D,3,FALSE)</f>
        <v>20000</v>
      </c>
      <c r="F409" s="2" t="str">
        <f>VLOOKUP(B409,karyawan!B:E,4,FALSE)</f>
        <v>Damaz</v>
      </c>
      <c r="G409" s="3">
        <v>2</v>
      </c>
      <c r="H409" s="66">
        <f t="shared" si="25"/>
        <v>0</v>
      </c>
      <c r="I409" s="32">
        <f t="shared" si="20"/>
        <v>1</v>
      </c>
      <c r="J409" s="5">
        <f t="shared" si="24"/>
        <v>0</v>
      </c>
      <c r="K409" s="41">
        <v>0</v>
      </c>
      <c r="L409" s="48">
        <v>1</v>
      </c>
      <c r="M409" s="32">
        <v>1</v>
      </c>
      <c r="N409" s="41">
        <f t="shared" si="21"/>
        <v>0</v>
      </c>
      <c r="O409" s="67">
        <f t="shared" si="22"/>
        <v>0</v>
      </c>
    </row>
    <row r="410" spans="1:15" ht="14.4" x14ac:dyDescent="0.3">
      <c r="A410" s="6">
        <v>46155</v>
      </c>
      <c r="B410" s="49" t="s">
        <v>11</v>
      </c>
      <c r="C410" s="4">
        <v>8</v>
      </c>
      <c r="D410" s="2">
        <f>VLOOKUP(B410,[1]lantai9!$B:$G,6,FALSE)</f>
        <v>36000</v>
      </c>
      <c r="E410" s="2">
        <f>VLOOKUP(B410,karyawan!B:D,3,FALSE)</f>
        <v>35000</v>
      </c>
      <c r="F410" s="2" t="str">
        <f>VLOOKUP(B410,karyawan!B:E,4,FALSE)</f>
        <v>Damaz</v>
      </c>
      <c r="G410" s="3">
        <v>3</v>
      </c>
      <c r="H410" s="66">
        <f t="shared" si="25"/>
        <v>0</v>
      </c>
      <c r="I410" s="32">
        <f t="shared" si="20"/>
        <v>2</v>
      </c>
      <c r="J410" s="5">
        <f t="shared" si="24"/>
        <v>0</v>
      </c>
      <c r="K410" s="41">
        <v>0</v>
      </c>
      <c r="L410" s="48">
        <v>2</v>
      </c>
      <c r="M410" s="32">
        <v>2</v>
      </c>
      <c r="N410" s="41">
        <f t="shared" si="21"/>
        <v>0</v>
      </c>
      <c r="O410" s="67">
        <f t="shared" si="22"/>
        <v>0</v>
      </c>
    </row>
    <row r="411" spans="1:15" ht="14.4" x14ac:dyDescent="0.3">
      <c r="A411" s="6">
        <v>46155</v>
      </c>
      <c r="B411" s="49" t="s">
        <v>14</v>
      </c>
      <c r="C411" s="4">
        <v>8</v>
      </c>
      <c r="D411" s="2">
        <f>VLOOKUP(B411,[1]lantai9!$B:$G,6,FALSE)</f>
        <v>23000</v>
      </c>
      <c r="E411" s="2">
        <f>VLOOKUP(B411,karyawan!B:D,3,FALSE)</f>
        <v>22000</v>
      </c>
      <c r="F411" s="2" t="str">
        <f>VLOOKUP(B411,karyawan!B:E,4,FALSE)</f>
        <v>Vale</v>
      </c>
      <c r="G411" s="3">
        <v>5</v>
      </c>
      <c r="H411" s="66">
        <f t="shared" si="25"/>
        <v>5</v>
      </c>
      <c r="I411" s="32">
        <f t="shared" si="20"/>
        <v>2</v>
      </c>
      <c r="J411" s="5">
        <v>3</v>
      </c>
      <c r="K411" s="41">
        <v>0</v>
      </c>
      <c r="L411" s="48">
        <v>1</v>
      </c>
      <c r="M411" s="32">
        <v>0</v>
      </c>
      <c r="N411" s="41">
        <f t="shared" si="21"/>
        <v>2</v>
      </c>
      <c r="O411" s="67">
        <f t="shared" si="22"/>
        <v>46000</v>
      </c>
    </row>
    <row r="412" spans="1:15" ht="14.4" x14ac:dyDescent="0.3">
      <c r="A412" s="6">
        <v>46155</v>
      </c>
      <c r="B412" s="49" t="s">
        <v>7</v>
      </c>
      <c r="C412" s="4">
        <v>8</v>
      </c>
      <c r="D412" s="2">
        <f>VLOOKUP(B412,[1]lantai9!$B:$G,6,FALSE)</f>
        <v>15000</v>
      </c>
      <c r="E412" s="2">
        <f>VLOOKUP(B412,karyawan!B:D,3,FALSE)</f>
        <v>14000</v>
      </c>
      <c r="F412" s="2" t="str">
        <f>VLOOKUP(B412,karyawan!B:E,4,FALSE)</f>
        <v>Desy</v>
      </c>
      <c r="G412" s="3">
        <v>6</v>
      </c>
      <c r="H412" s="66">
        <f t="shared" si="25"/>
        <v>2</v>
      </c>
      <c r="I412" s="32">
        <f t="shared" si="20"/>
        <v>6</v>
      </c>
      <c r="J412" s="5">
        <f t="shared" ref="J412:J420" si="26">IF(H412&gt;MAX(G412-M412,0),MAX(G412-M412,0),H412)</f>
        <v>0</v>
      </c>
      <c r="K412" s="41">
        <v>0</v>
      </c>
      <c r="L412" s="48">
        <v>6</v>
      </c>
      <c r="M412" s="32">
        <v>6</v>
      </c>
      <c r="N412" s="41">
        <f t="shared" si="21"/>
        <v>0</v>
      </c>
      <c r="O412" s="67">
        <f t="shared" si="22"/>
        <v>0</v>
      </c>
    </row>
    <row r="413" spans="1:15" ht="14.4" x14ac:dyDescent="0.3">
      <c r="A413" s="6">
        <v>46155</v>
      </c>
      <c r="B413" s="49" t="s">
        <v>8</v>
      </c>
      <c r="C413" s="4">
        <v>8</v>
      </c>
      <c r="D413" s="2">
        <f>VLOOKUP(B413,[1]lantai9!$B:$G,6,FALSE)</f>
        <v>18000</v>
      </c>
      <c r="E413" s="2">
        <f>VLOOKUP(B413,karyawan!B:D,3,FALSE)</f>
        <v>17000</v>
      </c>
      <c r="F413" s="2" t="str">
        <f>VLOOKUP(B413,karyawan!B:E,4,FALSE)</f>
        <v>Geby</v>
      </c>
      <c r="G413" s="3">
        <v>4</v>
      </c>
      <c r="H413" s="66">
        <f t="shared" si="25"/>
        <v>0</v>
      </c>
      <c r="I413" s="32">
        <f t="shared" si="20"/>
        <v>4</v>
      </c>
      <c r="J413" s="5">
        <f t="shared" si="26"/>
        <v>0</v>
      </c>
      <c r="K413" s="41">
        <v>0</v>
      </c>
      <c r="L413" s="48">
        <v>3</v>
      </c>
      <c r="M413" s="32">
        <v>4</v>
      </c>
      <c r="N413" s="41">
        <f t="shared" si="21"/>
        <v>0</v>
      </c>
      <c r="O413" s="67">
        <f t="shared" si="22"/>
        <v>0</v>
      </c>
    </row>
    <row r="414" spans="1:15" ht="14.4" x14ac:dyDescent="0.3">
      <c r="A414" s="6">
        <v>46155</v>
      </c>
      <c r="B414" s="49" t="s">
        <v>9</v>
      </c>
      <c r="C414" s="4">
        <v>8</v>
      </c>
      <c r="D414" s="2">
        <f>VLOOKUP(B414,[1]lantai9!$B:$G,6,FALSE)</f>
        <v>21000</v>
      </c>
      <c r="E414" s="2">
        <f>VLOOKUP(B414,karyawan!B:D,3,FALSE)</f>
        <v>20000</v>
      </c>
      <c r="F414" s="2" t="str">
        <f>VLOOKUP(B414,karyawan!B:E,4,FALSE)</f>
        <v>Geby</v>
      </c>
      <c r="G414" s="3">
        <v>3</v>
      </c>
      <c r="H414" s="66">
        <f t="shared" si="25"/>
        <v>0</v>
      </c>
      <c r="I414" s="32">
        <f t="shared" si="20"/>
        <v>1</v>
      </c>
      <c r="J414" s="5">
        <f t="shared" si="26"/>
        <v>0</v>
      </c>
      <c r="K414" s="41">
        <v>0</v>
      </c>
      <c r="L414" s="48">
        <v>0</v>
      </c>
      <c r="M414" s="32">
        <v>1</v>
      </c>
      <c r="N414" s="41">
        <f t="shared" si="21"/>
        <v>0</v>
      </c>
      <c r="O414" s="67">
        <f t="shared" si="22"/>
        <v>0</v>
      </c>
    </row>
    <row r="415" spans="1:15" ht="14.4" x14ac:dyDescent="0.3">
      <c r="A415" s="6">
        <v>46155</v>
      </c>
      <c r="B415" s="49" t="s">
        <v>20</v>
      </c>
      <c r="C415" s="4">
        <v>8</v>
      </c>
      <c r="D415" s="2">
        <f>VLOOKUP(B415,[1]lantai9!$B:$G,6,FALSE)</f>
        <v>35000</v>
      </c>
      <c r="E415" s="2">
        <f>VLOOKUP(B415,karyawan!B:D,3,FALSE)</f>
        <v>34000</v>
      </c>
      <c r="F415" s="2" t="str">
        <f>VLOOKUP(B415,karyawan!B:E,4,FALSE)</f>
        <v>Sherly</v>
      </c>
      <c r="G415" s="3">
        <v>2</v>
      </c>
      <c r="H415" s="66">
        <f t="shared" si="25"/>
        <v>12</v>
      </c>
      <c r="I415" s="32">
        <f t="shared" si="20"/>
        <v>2</v>
      </c>
      <c r="J415" s="5">
        <f t="shared" si="26"/>
        <v>0</v>
      </c>
      <c r="K415" s="41">
        <v>0</v>
      </c>
      <c r="L415" s="48">
        <v>2</v>
      </c>
      <c r="M415" s="32">
        <v>2</v>
      </c>
      <c r="N415" s="41">
        <f t="shared" si="21"/>
        <v>0</v>
      </c>
      <c r="O415" s="67">
        <f t="shared" si="22"/>
        <v>0</v>
      </c>
    </row>
    <row r="416" spans="1:15" ht="14.4" x14ac:dyDescent="0.3">
      <c r="A416" s="6">
        <v>46155</v>
      </c>
      <c r="B416" s="49" t="s">
        <v>21</v>
      </c>
      <c r="C416" s="4">
        <v>8</v>
      </c>
      <c r="D416" s="2">
        <f>VLOOKUP(B416,[1]lantai9!$B:$G,6,FALSE)</f>
        <v>40000</v>
      </c>
      <c r="E416" s="2">
        <f>VLOOKUP(B416,karyawan!B:D,3,FALSE)</f>
        <v>39000</v>
      </c>
      <c r="F416" s="2" t="str">
        <f>VLOOKUP(B416,karyawan!B:E,4,FALSE)</f>
        <v>Sherly</v>
      </c>
      <c r="G416" s="3">
        <v>4</v>
      </c>
      <c r="H416" s="66">
        <f t="shared" si="25"/>
        <v>13</v>
      </c>
      <c r="I416" s="32">
        <f t="shared" si="20"/>
        <v>4</v>
      </c>
      <c r="J416" s="5">
        <f t="shared" si="26"/>
        <v>0</v>
      </c>
      <c r="K416" s="41">
        <v>0</v>
      </c>
      <c r="L416" s="48">
        <v>4</v>
      </c>
      <c r="M416" s="32">
        <v>4</v>
      </c>
      <c r="N416" s="41">
        <f t="shared" si="21"/>
        <v>0</v>
      </c>
      <c r="O416" s="67">
        <f t="shared" si="22"/>
        <v>0</v>
      </c>
    </row>
    <row r="417" spans="1:15" ht="14.4" x14ac:dyDescent="0.3">
      <c r="A417" s="6">
        <v>46155</v>
      </c>
      <c r="B417" s="49" t="s">
        <v>19</v>
      </c>
      <c r="C417" s="4">
        <v>8</v>
      </c>
      <c r="D417" s="2">
        <f>VLOOKUP(B417,[1]lantai9!$B:$G,6,FALSE)</f>
        <v>2500</v>
      </c>
      <c r="E417" s="2">
        <f>VLOOKUP(B417,karyawan!B:D,3,FALSE)</f>
        <v>1480</v>
      </c>
      <c r="F417" s="2" t="str">
        <f>VLOOKUP(B417,karyawan!B:E,4,FALSE)</f>
        <v>Compliance</v>
      </c>
      <c r="G417" s="3">
        <v>12</v>
      </c>
      <c r="H417" s="66">
        <f t="shared" si="25"/>
        <v>0</v>
      </c>
      <c r="I417" s="32">
        <f t="shared" si="20"/>
        <v>1</v>
      </c>
      <c r="J417" s="5">
        <f t="shared" si="26"/>
        <v>0</v>
      </c>
      <c r="K417" s="41">
        <v>0</v>
      </c>
      <c r="L417" s="48">
        <v>1</v>
      </c>
      <c r="M417" s="32">
        <v>0</v>
      </c>
      <c r="N417" s="41">
        <f t="shared" si="21"/>
        <v>1</v>
      </c>
      <c r="O417" s="67">
        <f t="shared" si="22"/>
        <v>2500</v>
      </c>
    </row>
    <row r="418" spans="1:15" ht="14.4" x14ac:dyDescent="0.3">
      <c r="A418" s="6">
        <v>46155</v>
      </c>
      <c r="B418" s="49" t="s">
        <v>17</v>
      </c>
      <c r="C418" s="4">
        <v>8</v>
      </c>
      <c r="D418" s="2">
        <f>VLOOKUP(B418,[1]lantai9!$B:$G,6,FALSE)</f>
        <v>2000</v>
      </c>
      <c r="E418" s="2">
        <f>VLOOKUP(B418,karyawan!B:D,3,FALSE)</f>
        <v>1074</v>
      </c>
      <c r="F418" s="2" t="str">
        <f>VLOOKUP(B418,karyawan!B:E,4,FALSE)</f>
        <v>Compliance</v>
      </c>
      <c r="G418" s="3">
        <v>10</v>
      </c>
      <c r="H418" s="66">
        <f t="shared" si="25"/>
        <v>58</v>
      </c>
      <c r="I418" s="32">
        <f t="shared" ref="I418:I449" si="27">J355+M355+K418</f>
        <v>10</v>
      </c>
      <c r="J418" s="5">
        <f t="shared" si="26"/>
        <v>5</v>
      </c>
      <c r="K418" s="41">
        <v>0</v>
      </c>
      <c r="L418" s="48">
        <v>2</v>
      </c>
      <c r="M418" s="32">
        <v>5</v>
      </c>
      <c r="N418" s="41">
        <f t="shared" si="21"/>
        <v>5</v>
      </c>
      <c r="O418" s="67">
        <f t="shared" si="22"/>
        <v>10000</v>
      </c>
    </row>
    <row r="419" spans="1:15" ht="14.4" x14ac:dyDescent="0.3">
      <c r="A419" s="6">
        <v>46155</v>
      </c>
      <c r="B419" s="49" t="s">
        <v>5</v>
      </c>
      <c r="C419" s="4">
        <v>8</v>
      </c>
      <c r="D419" s="2">
        <f>VLOOKUP(B419,[1]lantai9!$B:$G,6,FALSE)</f>
        <v>2500</v>
      </c>
      <c r="E419" s="2">
        <f>VLOOKUP(B419,karyawan!B:D,3,FALSE)</f>
        <v>1465</v>
      </c>
      <c r="F419" s="2" t="str">
        <f>VLOOKUP(B419,karyawan!B:E,4,FALSE)</f>
        <v>Compliance</v>
      </c>
      <c r="G419" s="3">
        <v>10</v>
      </c>
      <c r="H419" s="66">
        <f t="shared" si="25"/>
        <v>51</v>
      </c>
      <c r="I419" s="32">
        <f t="shared" si="27"/>
        <v>10</v>
      </c>
      <c r="J419" s="5">
        <f t="shared" si="26"/>
        <v>1</v>
      </c>
      <c r="K419" s="41">
        <v>0</v>
      </c>
      <c r="L419" s="48">
        <v>12</v>
      </c>
      <c r="M419" s="32">
        <v>9</v>
      </c>
      <c r="N419" s="41">
        <f t="shared" si="21"/>
        <v>1</v>
      </c>
      <c r="O419" s="67">
        <f t="shared" si="22"/>
        <v>2500</v>
      </c>
    </row>
    <row r="420" spans="1:15" ht="14.4" x14ac:dyDescent="0.3">
      <c r="A420" s="6">
        <v>46155</v>
      </c>
      <c r="B420" s="49" t="s">
        <v>3</v>
      </c>
      <c r="C420" s="4">
        <v>8</v>
      </c>
      <c r="D420" s="2">
        <f>VLOOKUP(B420,[1]lantai9!$B:$G,6,FALSE)</f>
        <v>10000</v>
      </c>
      <c r="E420" s="2">
        <f>VLOOKUP(B420,karyawan!B:D,3,FALSE)</f>
        <v>9200</v>
      </c>
      <c r="F420" s="2" t="str">
        <f>VLOOKUP(B420,karyawan!B:E,4,FALSE)</f>
        <v>Compliance</v>
      </c>
      <c r="G420" s="3">
        <v>15</v>
      </c>
      <c r="H420" s="66">
        <f t="shared" si="25"/>
        <v>19</v>
      </c>
      <c r="I420" s="32">
        <f t="shared" si="27"/>
        <v>11</v>
      </c>
      <c r="J420" s="5">
        <f t="shared" si="26"/>
        <v>2</v>
      </c>
      <c r="K420" s="41">
        <v>0</v>
      </c>
      <c r="L420" s="48">
        <v>13</v>
      </c>
      <c r="M420" s="32">
        <v>13</v>
      </c>
      <c r="N420" s="41">
        <f t="shared" si="21"/>
        <v>0</v>
      </c>
      <c r="O420" s="67">
        <f t="shared" si="22"/>
        <v>0</v>
      </c>
    </row>
    <row r="421" spans="1:15" ht="14.4" x14ac:dyDescent="0.3">
      <c r="A421" s="6">
        <v>46155</v>
      </c>
      <c r="B421" s="49" t="s">
        <v>18</v>
      </c>
      <c r="C421" s="4">
        <v>8</v>
      </c>
      <c r="D421" s="2">
        <f>VLOOKUP(B421,[1]lantai9!$B:$G,6,FALSE)</f>
        <v>15000</v>
      </c>
      <c r="E421" s="2">
        <f>VLOOKUP(B421,karyawan!B:D,3,FALSE)</f>
        <v>13807</v>
      </c>
      <c r="F421" s="2" t="str">
        <f>VLOOKUP(B421,karyawan!B:E,4,FALSE)</f>
        <v>Compliance</v>
      </c>
      <c r="G421" s="3">
        <v>10</v>
      </c>
      <c r="H421" s="66">
        <f t="shared" si="25"/>
        <v>20</v>
      </c>
      <c r="I421" s="32">
        <f t="shared" si="27"/>
        <v>10</v>
      </c>
      <c r="J421" s="5">
        <v>0</v>
      </c>
      <c r="K421" s="41">
        <v>0</v>
      </c>
      <c r="L421" s="48">
        <v>9</v>
      </c>
      <c r="M421" s="32">
        <v>8</v>
      </c>
      <c r="N421" s="41">
        <f t="shared" si="21"/>
        <v>2</v>
      </c>
      <c r="O421" s="67">
        <f t="shared" si="22"/>
        <v>30000</v>
      </c>
    </row>
    <row r="422" spans="1:15" ht="14.4" x14ac:dyDescent="0.3">
      <c r="A422" s="6">
        <v>46155</v>
      </c>
      <c r="B422" s="49" t="s">
        <v>10</v>
      </c>
      <c r="C422" s="4">
        <v>8</v>
      </c>
      <c r="D422" s="2">
        <f>VLOOKUP(B422,[1]lantai9!$B:$G,6,FALSE)</f>
        <v>23000</v>
      </c>
      <c r="E422" s="2">
        <f>VLOOKUP(B422,karyawan!B:D,3,FALSE)</f>
        <v>21760</v>
      </c>
      <c r="F422" s="2" t="str">
        <f>VLOOKUP(B422,karyawan!B:E,4,FALSE)</f>
        <v>Compliance</v>
      </c>
      <c r="G422" s="3">
        <v>7</v>
      </c>
      <c r="H422" s="66">
        <f t="shared" si="25"/>
        <v>0</v>
      </c>
      <c r="I422" s="32">
        <f t="shared" si="27"/>
        <v>6</v>
      </c>
      <c r="J422" s="5">
        <f>IF(H422&gt;MAX(G422-M422,0),MAX(G422-M422,0),H422)</f>
        <v>0</v>
      </c>
      <c r="K422" s="41">
        <v>0</v>
      </c>
      <c r="L422" s="48">
        <v>6</v>
      </c>
      <c r="M422" s="32">
        <v>6</v>
      </c>
      <c r="N422" s="41">
        <f t="shared" si="21"/>
        <v>0</v>
      </c>
      <c r="O422" s="67">
        <f t="shared" si="22"/>
        <v>0</v>
      </c>
    </row>
    <row r="423" spans="1:15" ht="14.4" x14ac:dyDescent="0.3">
      <c r="A423" s="6">
        <v>46155</v>
      </c>
      <c r="B423" s="50" t="s">
        <v>23</v>
      </c>
      <c r="C423" s="4">
        <v>8</v>
      </c>
      <c r="D423" s="2">
        <f>VLOOKUP(B423,[1]lantai9!$B:$G,6,FALSE)</f>
        <v>11000</v>
      </c>
      <c r="E423" s="2">
        <f>VLOOKUP(B423,karyawan!B:D,3,FALSE)</f>
        <v>10000</v>
      </c>
      <c r="F423" s="2" t="str">
        <f>VLOOKUP(B423,karyawan!B:E,4,FALSE)</f>
        <v>Compliance</v>
      </c>
      <c r="G423" s="3">
        <v>8</v>
      </c>
      <c r="H423" s="66">
        <f t="shared" si="25"/>
        <v>2</v>
      </c>
      <c r="I423" s="32">
        <f t="shared" si="27"/>
        <v>8</v>
      </c>
      <c r="J423" s="5">
        <v>1</v>
      </c>
      <c r="K423" s="41">
        <v>0</v>
      </c>
      <c r="L423" s="48">
        <v>6</v>
      </c>
      <c r="M423" s="32">
        <v>6</v>
      </c>
      <c r="N423" s="41">
        <f t="shared" si="21"/>
        <v>2</v>
      </c>
      <c r="O423" s="67">
        <f t="shared" si="22"/>
        <v>22000</v>
      </c>
    </row>
    <row r="424" spans="1:15" ht="14.4" x14ac:dyDescent="0.3">
      <c r="A424" s="6">
        <v>46155</v>
      </c>
      <c r="B424" s="50" t="s">
        <v>24</v>
      </c>
      <c r="C424" s="4">
        <v>8</v>
      </c>
      <c r="D424" s="2">
        <f>VLOOKUP(B424,[1]lantai9!$B:$G,6,FALSE)</f>
        <v>14500</v>
      </c>
      <c r="E424" s="2">
        <f>VLOOKUP(B424,karyawan!B:D,3,FALSE)</f>
        <v>13500</v>
      </c>
      <c r="F424" s="2" t="str">
        <f>VLOOKUP(B424,karyawan!B:E,4,FALSE)</f>
        <v>Compliance</v>
      </c>
      <c r="G424" s="3">
        <v>6</v>
      </c>
      <c r="H424" s="66">
        <f t="shared" si="25"/>
        <v>0</v>
      </c>
      <c r="I424" s="32">
        <f t="shared" si="27"/>
        <v>4</v>
      </c>
      <c r="J424" s="5">
        <f t="shared" ref="J424:J432" si="28">IF(H424&gt;MAX(G424-M424,0),MAX(G424-M424,0),H424)</f>
        <v>0</v>
      </c>
      <c r="K424" s="41">
        <v>0</v>
      </c>
      <c r="L424" s="48">
        <v>0</v>
      </c>
      <c r="M424" s="32">
        <v>0</v>
      </c>
      <c r="N424" s="41">
        <f t="shared" si="21"/>
        <v>4</v>
      </c>
      <c r="O424" s="67">
        <f t="shared" si="22"/>
        <v>58000</v>
      </c>
    </row>
    <row r="425" spans="1:15" ht="14.4" x14ac:dyDescent="0.3">
      <c r="A425" s="6">
        <v>46155</v>
      </c>
      <c r="B425" s="50" t="s">
        <v>15</v>
      </c>
      <c r="C425" s="4">
        <v>8</v>
      </c>
      <c r="D425" s="2">
        <f>VLOOKUP(B425,[1]lantai9!$B:$G,6,FALSE)</f>
        <v>3500</v>
      </c>
      <c r="E425" s="2">
        <f>VLOOKUP(B425,karyawan!B:D,3,FALSE)</f>
        <v>2500</v>
      </c>
      <c r="F425" s="2" t="str">
        <f>VLOOKUP(B425,karyawan!B:E,4,FALSE)</f>
        <v>Compliance</v>
      </c>
      <c r="G425" s="3">
        <v>20</v>
      </c>
      <c r="H425" s="66">
        <f t="shared" si="25"/>
        <v>0</v>
      </c>
      <c r="I425" s="32">
        <f t="shared" si="27"/>
        <v>16</v>
      </c>
      <c r="J425" s="5">
        <f t="shared" si="28"/>
        <v>0</v>
      </c>
      <c r="K425" s="41">
        <v>0</v>
      </c>
      <c r="L425" s="48">
        <v>16</v>
      </c>
      <c r="M425" s="32">
        <v>16</v>
      </c>
      <c r="N425" s="41">
        <f t="shared" si="21"/>
        <v>0</v>
      </c>
      <c r="O425" s="67">
        <f t="shared" si="22"/>
        <v>0</v>
      </c>
    </row>
    <row r="426" spans="1:15" ht="14.4" x14ac:dyDescent="0.3">
      <c r="A426" s="6">
        <v>46155</v>
      </c>
      <c r="B426" s="50" t="s">
        <v>22</v>
      </c>
      <c r="C426" s="4">
        <v>8</v>
      </c>
      <c r="D426" s="2">
        <f>VLOOKUP(B426,[1]lantai9!$B:$G,6,FALSE)</f>
        <v>5500</v>
      </c>
      <c r="E426" s="2">
        <f>VLOOKUP(B426,karyawan!B:D,3,FALSE)</f>
        <v>4500</v>
      </c>
      <c r="F426" s="2" t="str">
        <f>VLOOKUP(B426,karyawan!B:E,4,FALSE)</f>
        <v>Compliance</v>
      </c>
      <c r="G426" s="3">
        <v>8</v>
      </c>
      <c r="H426" s="66">
        <f t="shared" si="25"/>
        <v>11</v>
      </c>
      <c r="I426" s="32">
        <f t="shared" si="27"/>
        <v>8</v>
      </c>
      <c r="J426" s="5">
        <f t="shared" si="28"/>
        <v>3</v>
      </c>
      <c r="K426" s="41">
        <v>0</v>
      </c>
      <c r="L426" s="48">
        <v>11</v>
      </c>
      <c r="M426" s="32">
        <v>5</v>
      </c>
      <c r="N426" s="41">
        <f t="shared" si="21"/>
        <v>3</v>
      </c>
      <c r="O426" s="67">
        <f t="shared" si="22"/>
        <v>16500</v>
      </c>
    </row>
    <row r="427" spans="1:15" ht="14.4" x14ac:dyDescent="0.3">
      <c r="A427" s="6">
        <v>46155</v>
      </c>
      <c r="B427" s="50" t="s">
        <v>25</v>
      </c>
      <c r="C427" s="4">
        <v>8</v>
      </c>
      <c r="D427" s="2">
        <f>VLOOKUP(B427,[1]lantai9!$B:$G,6,FALSE)</f>
        <v>9000</v>
      </c>
      <c r="E427" s="2">
        <f>VLOOKUP(B427,karyawan!B:D,3,FALSE)</f>
        <v>8000</v>
      </c>
      <c r="F427" s="2" t="str">
        <f>VLOOKUP(B427,karyawan!B:E,4,FALSE)</f>
        <v>Compliance</v>
      </c>
      <c r="G427" s="3">
        <v>3</v>
      </c>
      <c r="H427" s="66">
        <f t="shared" si="25"/>
        <v>0</v>
      </c>
      <c r="I427" s="32">
        <f t="shared" si="27"/>
        <v>1</v>
      </c>
      <c r="J427" s="5">
        <f t="shared" si="28"/>
        <v>0</v>
      </c>
      <c r="K427" s="41">
        <v>0</v>
      </c>
      <c r="L427" s="48">
        <v>3</v>
      </c>
      <c r="M427" s="32">
        <v>0</v>
      </c>
      <c r="N427" s="41">
        <f t="shared" si="21"/>
        <v>1</v>
      </c>
      <c r="O427" s="67">
        <f t="shared" si="22"/>
        <v>9000</v>
      </c>
    </row>
    <row r="428" spans="1:15" ht="14.4" x14ac:dyDescent="0.3">
      <c r="A428" s="6">
        <v>46155</v>
      </c>
      <c r="B428" s="49" t="s">
        <v>4</v>
      </c>
      <c r="C428" s="4">
        <v>9</v>
      </c>
      <c r="D428" s="2">
        <f>VLOOKUP(B428,[1]lantai9!$B:$G,6,FALSE)</f>
        <v>35000</v>
      </c>
      <c r="E428" s="2">
        <f>VLOOKUP(B428,karyawan!B:D,3,FALSE)</f>
        <v>34000</v>
      </c>
      <c r="F428" s="2" t="str">
        <f>VLOOKUP(B428,karyawan!B:E,4,FALSE)</f>
        <v>Florida</v>
      </c>
      <c r="G428" s="3">
        <v>5</v>
      </c>
      <c r="H428" s="66">
        <f t="shared" si="25"/>
        <v>0</v>
      </c>
      <c r="I428" s="32">
        <f t="shared" si="27"/>
        <v>3</v>
      </c>
      <c r="J428" s="5">
        <f t="shared" si="28"/>
        <v>0</v>
      </c>
      <c r="K428" s="41">
        <v>0</v>
      </c>
      <c r="L428" s="48">
        <v>3</v>
      </c>
      <c r="M428" s="32">
        <v>3</v>
      </c>
      <c r="N428" s="41">
        <f t="shared" si="21"/>
        <v>0</v>
      </c>
      <c r="O428" s="67">
        <f t="shared" si="22"/>
        <v>0</v>
      </c>
    </row>
    <row r="429" spans="1:15" ht="14.4" x14ac:dyDescent="0.3">
      <c r="A429" s="6">
        <v>46155</v>
      </c>
      <c r="B429" s="49" t="s">
        <v>13</v>
      </c>
      <c r="C429" s="4">
        <v>9</v>
      </c>
      <c r="D429" s="2">
        <f>VLOOKUP(B429,[1]lantai9!$B:$G,6,FALSE)</f>
        <v>23000</v>
      </c>
      <c r="E429" s="2">
        <f>VLOOKUP(B429,karyawan!B:D,3,FALSE)</f>
        <v>22000</v>
      </c>
      <c r="F429" s="2" t="str">
        <f>VLOOKUP(B429,karyawan!B:E,4,FALSE)</f>
        <v>Yohannes</v>
      </c>
      <c r="G429" s="3">
        <v>6</v>
      </c>
      <c r="H429" s="66">
        <f t="shared" si="25"/>
        <v>14</v>
      </c>
      <c r="I429" s="32">
        <f t="shared" si="27"/>
        <v>6</v>
      </c>
      <c r="J429" s="5">
        <f t="shared" si="28"/>
        <v>6</v>
      </c>
      <c r="K429" s="41">
        <v>0</v>
      </c>
      <c r="L429" s="48">
        <v>0</v>
      </c>
      <c r="M429" s="32">
        <v>0</v>
      </c>
      <c r="N429" s="41">
        <f t="shared" si="21"/>
        <v>6</v>
      </c>
      <c r="O429" s="67">
        <f t="shared" si="22"/>
        <v>138000</v>
      </c>
    </row>
    <row r="430" spans="1:15" ht="14.4" x14ac:dyDescent="0.3">
      <c r="A430" s="6">
        <v>46155</v>
      </c>
      <c r="B430" s="49" t="s">
        <v>12</v>
      </c>
      <c r="C430" s="4">
        <v>9</v>
      </c>
      <c r="D430" s="2">
        <f>VLOOKUP(B430,[1]lantai9!$B:$G,6,FALSE)</f>
        <v>21000</v>
      </c>
      <c r="E430" s="2">
        <f>VLOOKUP(B430,karyawan!B:D,3,FALSE)</f>
        <v>20000</v>
      </c>
      <c r="F430" s="2" t="str">
        <f>VLOOKUP(B430,karyawan!B:E,4,FALSE)</f>
        <v>Damaz</v>
      </c>
      <c r="G430" s="3">
        <v>2</v>
      </c>
      <c r="H430" s="66">
        <f t="shared" si="25"/>
        <v>0</v>
      </c>
      <c r="I430" s="32">
        <f t="shared" si="27"/>
        <v>0</v>
      </c>
      <c r="J430" s="5">
        <f t="shared" si="28"/>
        <v>0</v>
      </c>
      <c r="K430" s="41">
        <v>0</v>
      </c>
      <c r="L430" s="48">
        <v>0</v>
      </c>
      <c r="M430" s="32">
        <v>0</v>
      </c>
      <c r="N430" s="41">
        <f t="shared" si="21"/>
        <v>0</v>
      </c>
      <c r="O430" s="67">
        <f t="shared" si="22"/>
        <v>0</v>
      </c>
    </row>
    <row r="431" spans="1:15" ht="14.4" x14ac:dyDescent="0.3">
      <c r="A431" s="6">
        <v>46155</v>
      </c>
      <c r="B431" s="49" t="s">
        <v>11</v>
      </c>
      <c r="C431" s="4">
        <v>9</v>
      </c>
      <c r="D431" s="2">
        <f>VLOOKUP(B431,[1]lantai9!$B:$G,6,FALSE)</f>
        <v>36000</v>
      </c>
      <c r="E431" s="2">
        <f>VLOOKUP(B431,karyawan!B:D,3,FALSE)</f>
        <v>35000</v>
      </c>
      <c r="F431" s="2" t="str">
        <f>VLOOKUP(B431,karyawan!B:E,4,FALSE)</f>
        <v>Damaz</v>
      </c>
      <c r="G431" s="3">
        <v>3</v>
      </c>
      <c r="H431" s="66">
        <f t="shared" si="25"/>
        <v>0</v>
      </c>
      <c r="I431" s="32">
        <f t="shared" si="27"/>
        <v>0</v>
      </c>
      <c r="J431" s="5">
        <f t="shared" si="28"/>
        <v>0</v>
      </c>
      <c r="K431" s="41">
        <v>0</v>
      </c>
      <c r="L431" s="48">
        <v>0</v>
      </c>
      <c r="M431" s="32">
        <v>0</v>
      </c>
      <c r="N431" s="41">
        <f t="shared" si="21"/>
        <v>0</v>
      </c>
      <c r="O431" s="67">
        <f t="shared" si="22"/>
        <v>0</v>
      </c>
    </row>
    <row r="432" spans="1:15" ht="14.4" x14ac:dyDescent="0.3">
      <c r="A432" s="6">
        <v>46155</v>
      </c>
      <c r="B432" s="49" t="s">
        <v>14</v>
      </c>
      <c r="C432" s="4">
        <v>9</v>
      </c>
      <c r="D432" s="2">
        <f>VLOOKUP(B432,[1]lantai9!$B:$G,6,FALSE)</f>
        <v>23000</v>
      </c>
      <c r="E432" s="2">
        <f>VLOOKUP(B432,karyawan!B:D,3,FALSE)</f>
        <v>22000</v>
      </c>
      <c r="F432" s="2" t="str">
        <f>VLOOKUP(B432,karyawan!B:E,4,FALSE)</f>
        <v>Vale</v>
      </c>
      <c r="G432" s="3">
        <v>5</v>
      </c>
      <c r="H432" s="66">
        <f t="shared" si="25"/>
        <v>2</v>
      </c>
      <c r="I432" s="32">
        <f t="shared" si="27"/>
        <v>2</v>
      </c>
      <c r="J432" s="5">
        <f t="shared" si="28"/>
        <v>2</v>
      </c>
      <c r="K432" s="41">
        <v>0</v>
      </c>
      <c r="L432" s="48">
        <v>0</v>
      </c>
      <c r="M432" s="32">
        <v>0</v>
      </c>
      <c r="N432" s="41">
        <f t="shared" si="21"/>
        <v>2</v>
      </c>
      <c r="O432" s="67">
        <f t="shared" si="22"/>
        <v>46000</v>
      </c>
    </row>
    <row r="433" spans="1:15" ht="14.4" x14ac:dyDescent="0.3">
      <c r="A433" s="6">
        <v>46155</v>
      </c>
      <c r="B433" s="49" t="s">
        <v>7</v>
      </c>
      <c r="C433" s="4">
        <v>9</v>
      </c>
      <c r="D433" s="2">
        <f>VLOOKUP(B433,[1]lantai9!$B:$G,6,FALSE)</f>
        <v>15000</v>
      </c>
      <c r="E433" s="2">
        <f>VLOOKUP(B433,karyawan!B:D,3,FALSE)</f>
        <v>14000</v>
      </c>
      <c r="F433" s="2" t="str">
        <f>VLOOKUP(B433,karyawan!B:E,4,FALSE)</f>
        <v>Desy</v>
      </c>
      <c r="G433" s="3">
        <v>6</v>
      </c>
      <c r="H433" s="66">
        <f t="shared" si="25"/>
        <v>2</v>
      </c>
      <c r="I433" s="32">
        <f t="shared" si="27"/>
        <v>6</v>
      </c>
      <c r="J433" s="5">
        <v>1</v>
      </c>
      <c r="K433" s="41">
        <v>0</v>
      </c>
      <c r="L433" s="48">
        <v>0</v>
      </c>
      <c r="M433" s="32">
        <v>1</v>
      </c>
      <c r="N433" s="41">
        <f t="shared" si="21"/>
        <v>5</v>
      </c>
      <c r="O433" s="67">
        <f t="shared" si="22"/>
        <v>75000</v>
      </c>
    </row>
    <row r="434" spans="1:15" ht="14.4" x14ac:dyDescent="0.3">
      <c r="A434" s="6">
        <v>46155</v>
      </c>
      <c r="B434" s="49" t="s">
        <v>8</v>
      </c>
      <c r="C434" s="4">
        <v>9</v>
      </c>
      <c r="D434" s="2">
        <f>VLOOKUP(B434,[1]lantai9!$B:$G,6,FALSE)</f>
        <v>18000</v>
      </c>
      <c r="E434" s="2">
        <f>VLOOKUP(B434,karyawan!B:D,3,FALSE)</f>
        <v>17000</v>
      </c>
      <c r="F434" s="2" t="str">
        <f>VLOOKUP(B434,karyawan!B:E,4,FALSE)</f>
        <v>Geby</v>
      </c>
      <c r="G434" s="3">
        <v>4</v>
      </c>
      <c r="H434" s="66">
        <f t="shared" si="25"/>
        <v>0</v>
      </c>
      <c r="I434" s="32">
        <f t="shared" si="27"/>
        <v>0</v>
      </c>
      <c r="J434" s="5">
        <f t="shared" ref="J434:J448" si="29">IF(H434&gt;MAX(G434-M434,0),MAX(G434-M434,0),H434)</f>
        <v>0</v>
      </c>
      <c r="K434" s="41">
        <v>0</v>
      </c>
      <c r="L434" s="48">
        <v>-1</v>
      </c>
      <c r="M434" s="32">
        <v>0</v>
      </c>
      <c r="N434" s="41">
        <f t="shared" si="21"/>
        <v>0</v>
      </c>
      <c r="O434" s="67">
        <f t="shared" si="22"/>
        <v>0</v>
      </c>
    </row>
    <row r="435" spans="1:15" ht="14.4" x14ac:dyDescent="0.3">
      <c r="A435" s="6">
        <v>46155</v>
      </c>
      <c r="B435" s="49" t="s">
        <v>9</v>
      </c>
      <c r="C435" s="4">
        <v>9</v>
      </c>
      <c r="D435" s="2">
        <f>VLOOKUP(B435,[1]lantai9!$B:$G,6,FALSE)</f>
        <v>21000</v>
      </c>
      <c r="E435" s="2">
        <f>VLOOKUP(B435,karyawan!B:D,3,FALSE)</f>
        <v>20000</v>
      </c>
      <c r="F435" s="2" t="str">
        <f>VLOOKUP(B435,karyawan!B:E,4,FALSE)</f>
        <v>Geby</v>
      </c>
      <c r="G435" s="3">
        <v>3</v>
      </c>
      <c r="H435" s="66">
        <f t="shared" si="25"/>
        <v>0</v>
      </c>
      <c r="I435" s="32">
        <f t="shared" si="27"/>
        <v>2</v>
      </c>
      <c r="J435" s="5">
        <f t="shared" si="29"/>
        <v>0</v>
      </c>
      <c r="K435" s="41">
        <v>0</v>
      </c>
      <c r="L435" s="48">
        <v>0</v>
      </c>
      <c r="M435" s="32">
        <v>2</v>
      </c>
      <c r="N435" s="41">
        <f t="shared" si="21"/>
        <v>0</v>
      </c>
      <c r="O435" s="67">
        <f t="shared" si="22"/>
        <v>0</v>
      </c>
    </row>
    <row r="436" spans="1:15" ht="14.4" x14ac:dyDescent="0.3">
      <c r="A436" s="6">
        <v>46155</v>
      </c>
      <c r="B436" s="49" t="s">
        <v>20</v>
      </c>
      <c r="C436" s="4">
        <v>9</v>
      </c>
      <c r="D436" s="2">
        <f>VLOOKUP(B436,[1]lantai9!$B:$G,6,FALSE)</f>
        <v>35000</v>
      </c>
      <c r="E436" s="2">
        <f>VLOOKUP(B436,karyawan!B:D,3,FALSE)</f>
        <v>34000</v>
      </c>
      <c r="F436" s="2" t="str">
        <f>VLOOKUP(B436,karyawan!B:E,4,FALSE)</f>
        <v>Sherly</v>
      </c>
      <c r="G436" s="3">
        <v>2</v>
      </c>
      <c r="H436" s="66">
        <f t="shared" si="25"/>
        <v>12</v>
      </c>
      <c r="I436" s="32">
        <f t="shared" si="27"/>
        <v>2</v>
      </c>
      <c r="J436" s="5">
        <f t="shared" si="29"/>
        <v>2</v>
      </c>
      <c r="K436" s="41">
        <v>0</v>
      </c>
      <c r="L436" s="48">
        <v>-2</v>
      </c>
      <c r="M436" s="32">
        <v>0</v>
      </c>
      <c r="N436" s="41">
        <f t="shared" si="21"/>
        <v>2</v>
      </c>
      <c r="O436" s="67">
        <f t="shared" si="22"/>
        <v>70000</v>
      </c>
    </row>
    <row r="437" spans="1:15" ht="14.4" x14ac:dyDescent="0.3">
      <c r="A437" s="6">
        <v>46155</v>
      </c>
      <c r="B437" s="49" t="s">
        <v>21</v>
      </c>
      <c r="C437" s="4">
        <v>9</v>
      </c>
      <c r="D437" s="2">
        <f>VLOOKUP(B437,[1]lantai9!$B:$G,6,FALSE)</f>
        <v>40000</v>
      </c>
      <c r="E437" s="2">
        <f>VLOOKUP(B437,karyawan!B:D,3,FALSE)</f>
        <v>39000</v>
      </c>
      <c r="F437" s="2" t="str">
        <f>VLOOKUP(B437,karyawan!B:E,4,FALSE)</f>
        <v>Sherly</v>
      </c>
      <c r="G437" s="3">
        <v>4</v>
      </c>
      <c r="H437" s="66">
        <f t="shared" si="25"/>
        <v>13</v>
      </c>
      <c r="I437" s="32">
        <f t="shared" si="27"/>
        <v>4</v>
      </c>
      <c r="J437" s="5">
        <f t="shared" si="29"/>
        <v>4</v>
      </c>
      <c r="K437" s="41">
        <v>0</v>
      </c>
      <c r="L437" s="48">
        <v>1</v>
      </c>
      <c r="M437" s="32">
        <v>0</v>
      </c>
      <c r="N437" s="41">
        <f t="shared" si="21"/>
        <v>4</v>
      </c>
      <c r="O437" s="67">
        <f t="shared" si="22"/>
        <v>160000</v>
      </c>
    </row>
    <row r="438" spans="1:15" ht="14.4" x14ac:dyDescent="0.3">
      <c r="A438" s="6">
        <v>46155</v>
      </c>
      <c r="B438" s="49" t="s">
        <v>19</v>
      </c>
      <c r="C438" s="4">
        <v>9</v>
      </c>
      <c r="D438" s="2">
        <f>VLOOKUP(B438,[1]lantai9!$B:$G,6,FALSE)</f>
        <v>2500</v>
      </c>
      <c r="E438" s="2">
        <f>VLOOKUP(B438,karyawan!B:D,3,FALSE)</f>
        <v>1480</v>
      </c>
      <c r="F438" s="2" t="str">
        <f>VLOOKUP(B438,karyawan!B:E,4,FALSE)</f>
        <v>Compliance</v>
      </c>
      <c r="G438" s="3">
        <v>12</v>
      </c>
      <c r="H438" s="66">
        <f t="shared" si="25"/>
        <v>0</v>
      </c>
      <c r="I438" s="32">
        <f t="shared" si="27"/>
        <v>1</v>
      </c>
      <c r="J438" s="5">
        <f t="shared" si="29"/>
        <v>0</v>
      </c>
      <c r="K438" s="41">
        <v>0</v>
      </c>
      <c r="L438" s="48">
        <v>1</v>
      </c>
      <c r="M438" s="32">
        <v>1</v>
      </c>
      <c r="N438" s="41">
        <f t="shared" si="21"/>
        <v>0</v>
      </c>
      <c r="O438" s="67">
        <f t="shared" si="22"/>
        <v>0</v>
      </c>
    </row>
    <row r="439" spans="1:15" ht="14.4" x14ac:dyDescent="0.3">
      <c r="A439" s="6">
        <v>46155</v>
      </c>
      <c r="B439" s="49" t="s">
        <v>17</v>
      </c>
      <c r="C439" s="4">
        <v>9</v>
      </c>
      <c r="D439" s="2">
        <f>VLOOKUP(B439,[1]lantai9!$B:$G,6,FALSE)</f>
        <v>2000</v>
      </c>
      <c r="E439" s="2">
        <f>VLOOKUP(B439,karyawan!B:D,3,FALSE)</f>
        <v>1074</v>
      </c>
      <c r="F439" s="2" t="str">
        <f>VLOOKUP(B439,karyawan!B:E,4,FALSE)</f>
        <v>Compliance</v>
      </c>
      <c r="G439" s="3">
        <v>10</v>
      </c>
      <c r="H439" s="66">
        <f t="shared" si="25"/>
        <v>53</v>
      </c>
      <c r="I439" s="32">
        <f t="shared" si="27"/>
        <v>10</v>
      </c>
      <c r="J439" s="5">
        <f t="shared" si="29"/>
        <v>2</v>
      </c>
      <c r="K439" s="41">
        <v>0</v>
      </c>
      <c r="L439" s="48">
        <v>21</v>
      </c>
      <c r="M439" s="32">
        <v>8</v>
      </c>
      <c r="N439" s="41">
        <f t="shared" si="21"/>
        <v>2</v>
      </c>
      <c r="O439" s="67">
        <f t="shared" si="22"/>
        <v>4000</v>
      </c>
    </row>
    <row r="440" spans="1:15" ht="14.4" x14ac:dyDescent="0.3">
      <c r="A440" s="6">
        <v>46155</v>
      </c>
      <c r="B440" s="49" t="s">
        <v>5</v>
      </c>
      <c r="C440" s="4">
        <v>9</v>
      </c>
      <c r="D440" s="2">
        <f>VLOOKUP(B440,[1]lantai9!$B:$G,6,FALSE)</f>
        <v>2500</v>
      </c>
      <c r="E440" s="2">
        <f>VLOOKUP(B440,karyawan!B:D,3,FALSE)</f>
        <v>1465</v>
      </c>
      <c r="F440" s="2" t="str">
        <f>VLOOKUP(B440,karyawan!B:E,4,FALSE)</f>
        <v>Compliance</v>
      </c>
      <c r="G440" s="3">
        <v>10</v>
      </c>
      <c r="H440" s="66">
        <f t="shared" si="25"/>
        <v>50</v>
      </c>
      <c r="I440" s="32">
        <f t="shared" si="27"/>
        <v>10</v>
      </c>
      <c r="J440" s="5">
        <f t="shared" si="29"/>
        <v>3</v>
      </c>
      <c r="K440" s="41">
        <v>0</v>
      </c>
      <c r="L440" s="48">
        <v>7</v>
      </c>
      <c r="M440" s="32">
        <v>7</v>
      </c>
      <c r="N440" s="41">
        <f t="shared" si="21"/>
        <v>3</v>
      </c>
      <c r="O440" s="67">
        <f t="shared" si="22"/>
        <v>7500</v>
      </c>
    </row>
    <row r="441" spans="1:15" ht="14.4" x14ac:dyDescent="0.3">
      <c r="A441" s="6">
        <v>46155</v>
      </c>
      <c r="B441" s="49" t="s">
        <v>3</v>
      </c>
      <c r="C441" s="4">
        <v>9</v>
      </c>
      <c r="D441" s="2">
        <f>VLOOKUP(B441,[1]lantai9!$B:$G,6,FALSE)</f>
        <v>10000</v>
      </c>
      <c r="E441" s="2">
        <f>VLOOKUP(B441,karyawan!B:D,3,FALSE)</f>
        <v>9200</v>
      </c>
      <c r="F441" s="2" t="str">
        <f>VLOOKUP(B441,karyawan!B:E,4,FALSE)</f>
        <v>Compliance</v>
      </c>
      <c r="G441" s="3">
        <v>15</v>
      </c>
      <c r="H441" s="66">
        <f t="shared" si="25"/>
        <v>17</v>
      </c>
      <c r="I441" s="32">
        <f t="shared" si="27"/>
        <v>15</v>
      </c>
      <c r="J441" s="5">
        <f t="shared" si="29"/>
        <v>0</v>
      </c>
      <c r="K441" s="41">
        <v>0</v>
      </c>
      <c r="L441" s="48">
        <v>15</v>
      </c>
      <c r="M441" s="32">
        <v>15</v>
      </c>
      <c r="N441" s="41">
        <f t="shared" si="21"/>
        <v>0</v>
      </c>
      <c r="O441" s="67">
        <f t="shared" si="22"/>
        <v>0</v>
      </c>
    </row>
    <row r="442" spans="1:15" ht="14.4" x14ac:dyDescent="0.3">
      <c r="A442" s="6">
        <v>46155</v>
      </c>
      <c r="B442" s="49" t="s">
        <v>18</v>
      </c>
      <c r="C442" s="4">
        <v>9</v>
      </c>
      <c r="D442" s="2">
        <f>VLOOKUP(B442,[1]lantai9!$B:$G,6,FALSE)</f>
        <v>15000</v>
      </c>
      <c r="E442" s="2">
        <f>VLOOKUP(B442,karyawan!B:D,3,FALSE)</f>
        <v>13807</v>
      </c>
      <c r="F442" s="2" t="str">
        <f>VLOOKUP(B442,karyawan!B:E,4,FALSE)</f>
        <v>Compliance</v>
      </c>
      <c r="G442" s="3">
        <v>10</v>
      </c>
      <c r="H442" s="66">
        <f t="shared" si="25"/>
        <v>20</v>
      </c>
      <c r="I442" s="32">
        <f t="shared" si="27"/>
        <v>6</v>
      </c>
      <c r="J442" s="5">
        <f t="shared" si="29"/>
        <v>10</v>
      </c>
      <c r="K442" s="41">
        <v>0</v>
      </c>
      <c r="L442" s="48">
        <v>6</v>
      </c>
      <c r="M442" s="32">
        <v>0</v>
      </c>
      <c r="N442" s="41">
        <f t="shared" si="21"/>
        <v>6</v>
      </c>
      <c r="O442" s="67">
        <f t="shared" si="22"/>
        <v>90000</v>
      </c>
    </row>
    <row r="443" spans="1:15" ht="14.4" x14ac:dyDescent="0.3">
      <c r="A443" s="6">
        <v>46155</v>
      </c>
      <c r="B443" s="49" t="s">
        <v>10</v>
      </c>
      <c r="C443" s="4">
        <v>9</v>
      </c>
      <c r="D443" s="2">
        <f>VLOOKUP(B443,[1]lantai9!$B:$G,6,FALSE)</f>
        <v>23000</v>
      </c>
      <c r="E443" s="2">
        <f>VLOOKUP(B443,karyawan!B:D,3,FALSE)</f>
        <v>21760</v>
      </c>
      <c r="F443" s="2" t="str">
        <f>VLOOKUP(B443,karyawan!B:E,4,FALSE)</f>
        <v>Compliance</v>
      </c>
      <c r="G443" s="3">
        <v>7</v>
      </c>
      <c r="H443" s="66">
        <f t="shared" si="25"/>
        <v>0</v>
      </c>
      <c r="I443" s="32">
        <f t="shared" si="27"/>
        <v>2</v>
      </c>
      <c r="J443" s="5">
        <f t="shared" si="29"/>
        <v>0</v>
      </c>
      <c r="K443" s="41">
        <v>0</v>
      </c>
      <c r="L443" s="48">
        <v>0</v>
      </c>
      <c r="M443" s="32">
        <v>0</v>
      </c>
      <c r="N443" s="41">
        <f t="shared" si="21"/>
        <v>2</v>
      </c>
      <c r="O443" s="67">
        <f t="shared" si="22"/>
        <v>46000</v>
      </c>
    </row>
    <row r="444" spans="1:15" ht="14.4" x14ac:dyDescent="0.3">
      <c r="A444" s="6">
        <v>46155</v>
      </c>
      <c r="B444" s="50" t="s">
        <v>23</v>
      </c>
      <c r="C444" s="4">
        <v>9</v>
      </c>
      <c r="D444" s="2">
        <f>VLOOKUP(B444,[1]lantai9!$B:$G,6,FALSE)</f>
        <v>11000</v>
      </c>
      <c r="E444" s="2">
        <f>VLOOKUP(B444,karyawan!B:D,3,FALSE)</f>
        <v>10000</v>
      </c>
      <c r="F444" s="2" t="str">
        <f>VLOOKUP(B444,karyawan!B:E,4,FALSE)</f>
        <v>Compliance</v>
      </c>
      <c r="G444" s="3">
        <v>8</v>
      </c>
      <c r="H444" s="66">
        <f t="shared" si="25"/>
        <v>1</v>
      </c>
      <c r="I444" s="32">
        <f t="shared" si="27"/>
        <v>8</v>
      </c>
      <c r="J444" s="5">
        <f t="shared" si="29"/>
        <v>1</v>
      </c>
      <c r="K444" s="41">
        <v>0</v>
      </c>
      <c r="L444" s="48">
        <v>7</v>
      </c>
      <c r="M444" s="32">
        <v>6</v>
      </c>
      <c r="N444" s="41">
        <f t="shared" si="21"/>
        <v>2</v>
      </c>
      <c r="O444" s="67">
        <f t="shared" si="22"/>
        <v>22000</v>
      </c>
    </row>
    <row r="445" spans="1:15" ht="14.4" x14ac:dyDescent="0.3">
      <c r="A445" s="6">
        <v>46155</v>
      </c>
      <c r="B445" s="50" t="s">
        <v>24</v>
      </c>
      <c r="C445" s="4">
        <v>9</v>
      </c>
      <c r="D445" s="2">
        <f>VLOOKUP(B445,[1]lantai9!$B:$G,6,FALSE)</f>
        <v>14500</v>
      </c>
      <c r="E445" s="2">
        <f>VLOOKUP(B445,karyawan!B:D,3,FALSE)</f>
        <v>13500</v>
      </c>
      <c r="F445" s="2" t="str">
        <f>VLOOKUP(B445,karyawan!B:E,4,FALSE)</f>
        <v>Compliance</v>
      </c>
      <c r="G445" s="3">
        <v>6</v>
      </c>
      <c r="H445" s="66">
        <f t="shared" si="25"/>
        <v>0</v>
      </c>
      <c r="I445" s="32">
        <f t="shared" si="27"/>
        <v>2</v>
      </c>
      <c r="J445" s="5">
        <f t="shared" si="29"/>
        <v>0</v>
      </c>
      <c r="K445" s="41">
        <v>0</v>
      </c>
      <c r="L445" s="48">
        <v>7</v>
      </c>
      <c r="M445" s="32">
        <v>6</v>
      </c>
      <c r="N445" s="41">
        <f t="shared" si="21"/>
        <v>0</v>
      </c>
      <c r="O445" s="67">
        <f t="shared" si="22"/>
        <v>0</v>
      </c>
    </row>
    <row r="446" spans="1:15" ht="14.4" x14ac:dyDescent="0.3">
      <c r="A446" s="6">
        <v>46155</v>
      </c>
      <c r="B446" s="50" t="s">
        <v>15</v>
      </c>
      <c r="C446" s="4">
        <v>9</v>
      </c>
      <c r="D446" s="2">
        <f>VLOOKUP(B446,[1]lantai9!$B:$G,6,FALSE)</f>
        <v>3500</v>
      </c>
      <c r="E446" s="2">
        <f>VLOOKUP(B446,karyawan!B:D,3,FALSE)</f>
        <v>2500</v>
      </c>
      <c r="F446" s="2" t="str">
        <f>VLOOKUP(B446,karyawan!B:E,4,FALSE)</f>
        <v>Compliance</v>
      </c>
      <c r="G446" s="3">
        <v>20</v>
      </c>
      <c r="H446" s="66">
        <f t="shared" si="25"/>
        <v>0</v>
      </c>
      <c r="I446" s="32">
        <f t="shared" si="27"/>
        <v>15</v>
      </c>
      <c r="J446" s="5">
        <f t="shared" si="29"/>
        <v>0</v>
      </c>
      <c r="K446" s="41">
        <v>0</v>
      </c>
      <c r="L446" s="48">
        <v>13</v>
      </c>
      <c r="M446" s="32">
        <v>14</v>
      </c>
      <c r="N446" s="41">
        <f t="shared" si="21"/>
        <v>1</v>
      </c>
      <c r="O446" s="67">
        <f t="shared" si="22"/>
        <v>3500</v>
      </c>
    </row>
    <row r="447" spans="1:15" ht="14.4" x14ac:dyDescent="0.3">
      <c r="A447" s="6">
        <v>46155</v>
      </c>
      <c r="B447" s="50" t="s">
        <v>22</v>
      </c>
      <c r="C447" s="4">
        <v>9</v>
      </c>
      <c r="D447" s="2">
        <f>VLOOKUP(B447,[1]lantai9!$B:$G,6,FALSE)</f>
        <v>5500</v>
      </c>
      <c r="E447" s="2">
        <f>VLOOKUP(B447,karyawan!B:D,3,FALSE)</f>
        <v>4500</v>
      </c>
      <c r="F447" s="2" t="str">
        <f>VLOOKUP(B447,karyawan!B:E,4,FALSE)</f>
        <v>Compliance</v>
      </c>
      <c r="G447" s="3">
        <v>8</v>
      </c>
      <c r="H447" s="66">
        <f t="shared" si="25"/>
        <v>8</v>
      </c>
      <c r="I447" s="32">
        <f t="shared" si="27"/>
        <v>8</v>
      </c>
      <c r="J447" s="5">
        <f t="shared" si="29"/>
        <v>0</v>
      </c>
      <c r="K447" s="41">
        <v>0</v>
      </c>
      <c r="L447" s="48">
        <v>8</v>
      </c>
      <c r="M447" s="32">
        <v>8</v>
      </c>
      <c r="N447" s="41">
        <f t="shared" si="21"/>
        <v>0</v>
      </c>
      <c r="O447" s="67">
        <f t="shared" si="22"/>
        <v>0</v>
      </c>
    </row>
    <row r="448" spans="1:15" ht="14.4" x14ac:dyDescent="0.3">
      <c r="A448" s="6">
        <v>46155</v>
      </c>
      <c r="B448" s="50" t="s">
        <v>25</v>
      </c>
      <c r="C448" s="4">
        <v>9</v>
      </c>
      <c r="D448" s="2">
        <f>VLOOKUP(B448,[1]lantai9!$B:$G,6,FALSE)</f>
        <v>9000</v>
      </c>
      <c r="E448" s="2">
        <f>VLOOKUP(B448,karyawan!B:D,3,FALSE)</f>
        <v>8000</v>
      </c>
      <c r="F448" s="2" t="str">
        <f>VLOOKUP(B448,karyawan!B:E,4,FALSE)</f>
        <v>Compliance</v>
      </c>
      <c r="G448" s="3">
        <v>3</v>
      </c>
      <c r="H448" s="66">
        <f t="shared" si="25"/>
        <v>0</v>
      </c>
      <c r="I448" s="32">
        <f t="shared" si="27"/>
        <v>0</v>
      </c>
      <c r="J448" s="5">
        <f t="shared" si="29"/>
        <v>0</v>
      </c>
      <c r="K448" s="41">
        <v>0</v>
      </c>
      <c r="L448" s="48">
        <v>4</v>
      </c>
      <c r="M448" s="32">
        <v>0</v>
      </c>
      <c r="N448" s="41">
        <f t="shared" si="21"/>
        <v>0</v>
      </c>
      <c r="O448" s="67">
        <f t="shared" si="22"/>
        <v>0</v>
      </c>
    </row>
    <row r="449" spans="1:15" ht="15" customHeight="1" x14ac:dyDescent="0.3">
      <c r="A449" s="55">
        <v>46157</v>
      </c>
      <c r="B449" s="58" t="s">
        <v>4</v>
      </c>
      <c r="C449" s="41">
        <v>3</v>
      </c>
      <c r="D449" s="57">
        <f>VLOOKUP(B449,[1]lantai9!$B:$G,6,FALSE)</f>
        <v>35000</v>
      </c>
      <c r="E449" s="57">
        <f>VLOOKUP(B449,karyawan!B:D,3,FALSE)</f>
        <v>34000</v>
      </c>
      <c r="F449" s="57" t="str">
        <f>VLOOKUP(B449,karyawan!B:E,4,FALSE)</f>
        <v>Florida</v>
      </c>
      <c r="G449" s="42">
        <v>5</v>
      </c>
      <c r="H449" s="66">
        <f>IFERROR(Inventory!$D107,"0")</f>
        <v>0</v>
      </c>
      <c r="I449" s="32">
        <f t="shared" si="27"/>
        <v>0</v>
      </c>
      <c r="J449" s="69">
        <v>5</v>
      </c>
      <c r="K449" s="41">
        <v>0</v>
      </c>
      <c r="L449" s="75">
        <v>1</v>
      </c>
      <c r="M449" s="32">
        <v>0</v>
      </c>
      <c r="N449" s="41">
        <f t="shared" si="21"/>
        <v>0</v>
      </c>
      <c r="O449" s="67">
        <f t="shared" si="22"/>
        <v>0</v>
      </c>
    </row>
    <row r="450" spans="1:15" ht="15" customHeight="1" x14ac:dyDescent="0.3">
      <c r="A450" s="55">
        <v>46157</v>
      </c>
      <c r="B450" s="58" t="s">
        <v>13</v>
      </c>
      <c r="C450" s="41">
        <v>3</v>
      </c>
      <c r="D450" s="57">
        <f>VLOOKUP(B450,[1]lantai9!$B:$G,6,FALSE)</f>
        <v>23000</v>
      </c>
      <c r="E450" s="57">
        <f>VLOOKUP(B450,karyawan!B:D,3,FALSE)</f>
        <v>22000</v>
      </c>
      <c r="F450" s="57" t="str">
        <f>VLOOKUP(B450,karyawan!B:E,4,FALSE)</f>
        <v>Yohannes</v>
      </c>
      <c r="G450" s="42">
        <v>6</v>
      </c>
      <c r="H450" s="66">
        <f>IFERROR(Inventory!$D108,"0")</f>
        <v>0</v>
      </c>
      <c r="I450" s="32">
        <f t="shared" ref="I450:I481" si="30">J387+M387+K450</f>
        <v>6</v>
      </c>
      <c r="J450" s="69">
        <v>2</v>
      </c>
      <c r="K450" s="41">
        <v>0</v>
      </c>
      <c r="L450" s="76">
        <v>13</v>
      </c>
      <c r="M450" s="32">
        <v>4</v>
      </c>
      <c r="N450" s="41">
        <f t="shared" ref="N450:N513" si="31">MAX($I450-$M450,0)</f>
        <v>2</v>
      </c>
      <c r="O450" s="67">
        <f t="shared" ref="O450:O513" si="32">N450*D450</f>
        <v>46000</v>
      </c>
    </row>
    <row r="451" spans="1:15" ht="15" customHeight="1" x14ac:dyDescent="0.3">
      <c r="A451" s="55">
        <v>46157</v>
      </c>
      <c r="B451" s="58" t="s">
        <v>12</v>
      </c>
      <c r="C451" s="41">
        <v>3</v>
      </c>
      <c r="D451" s="57">
        <f>VLOOKUP(B451,[1]lantai9!$B:$G,6,FALSE)</f>
        <v>21000</v>
      </c>
      <c r="E451" s="57">
        <f>VLOOKUP(B451,karyawan!B:D,3,FALSE)</f>
        <v>20000</v>
      </c>
      <c r="F451" s="57" t="str">
        <f>VLOOKUP(B451,karyawan!B:E,4,FALSE)</f>
        <v>Damaz</v>
      </c>
      <c r="G451" s="42">
        <v>2</v>
      </c>
      <c r="H451" s="66">
        <f>IFERROR(Inventory!$D109,"0")</f>
        <v>0</v>
      </c>
      <c r="I451" s="32">
        <f t="shared" si="30"/>
        <v>1</v>
      </c>
      <c r="J451" s="70">
        <v>0</v>
      </c>
      <c r="K451" s="41">
        <v>0</v>
      </c>
      <c r="L451" s="76">
        <v>-1</v>
      </c>
      <c r="M451" s="32">
        <v>1</v>
      </c>
      <c r="N451" s="41">
        <f t="shared" si="31"/>
        <v>0</v>
      </c>
      <c r="O451" s="67">
        <f t="shared" si="32"/>
        <v>0</v>
      </c>
    </row>
    <row r="452" spans="1:15" ht="15" customHeight="1" x14ac:dyDescent="0.3">
      <c r="A452" s="55">
        <v>46157</v>
      </c>
      <c r="B452" s="58" t="s">
        <v>11</v>
      </c>
      <c r="C452" s="41">
        <v>3</v>
      </c>
      <c r="D452" s="57">
        <f>VLOOKUP(B452,[1]lantai9!$B:$G,6,FALSE)</f>
        <v>36000</v>
      </c>
      <c r="E452" s="57">
        <f>VLOOKUP(B452,karyawan!B:D,3,FALSE)</f>
        <v>35000</v>
      </c>
      <c r="F452" s="57" t="str">
        <f>VLOOKUP(B452,karyawan!B:E,4,FALSE)</f>
        <v>Damaz</v>
      </c>
      <c r="G452" s="42">
        <v>3</v>
      </c>
      <c r="H452" s="66">
        <f>IFERROR(Inventory!$D110,"0")</f>
        <v>0</v>
      </c>
      <c r="I452" s="32">
        <f t="shared" si="30"/>
        <v>2</v>
      </c>
      <c r="J452" s="70">
        <v>0</v>
      </c>
      <c r="K452" s="41">
        <v>0</v>
      </c>
      <c r="L452" s="76">
        <v>2</v>
      </c>
      <c r="M452" s="32">
        <v>2</v>
      </c>
      <c r="N452" s="41">
        <f t="shared" si="31"/>
        <v>0</v>
      </c>
      <c r="O452" s="67">
        <f t="shared" si="32"/>
        <v>0</v>
      </c>
    </row>
    <row r="453" spans="1:15" ht="15" customHeight="1" x14ac:dyDescent="0.3">
      <c r="A453" s="55">
        <v>46157</v>
      </c>
      <c r="B453" s="58" t="s">
        <v>14</v>
      </c>
      <c r="C453" s="41">
        <v>3</v>
      </c>
      <c r="D453" s="57">
        <f>VLOOKUP(B453,[1]lantai9!$B:$G,6,FALSE)</f>
        <v>23000</v>
      </c>
      <c r="E453" s="57">
        <f>VLOOKUP(B453,karyawan!B:D,3,FALSE)</f>
        <v>22000</v>
      </c>
      <c r="F453" s="57" t="str">
        <f>VLOOKUP(B453,karyawan!B:E,4,FALSE)</f>
        <v>Vale</v>
      </c>
      <c r="G453" s="42">
        <v>5</v>
      </c>
      <c r="H453" s="66">
        <f>IFERROR(Inventory!$D111,"0")</f>
        <v>0</v>
      </c>
      <c r="I453" s="32">
        <f t="shared" si="30"/>
        <v>2</v>
      </c>
      <c r="J453" s="69">
        <v>0</v>
      </c>
      <c r="K453" s="41">
        <v>0</v>
      </c>
      <c r="L453" s="76">
        <v>4</v>
      </c>
      <c r="M453" s="32">
        <v>2</v>
      </c>
      <c r="N453" s="41">
        <f t="shared" si="31"/>
        <v>0</v>
      </c>
      <c r="O453" s="67">
        <f t="shared" si="32"/>
        <v>0</v>
      </c>
    </row>
    <row r="454" spans="1:15" ht="15" customHeight="1" x14ac:dyDescent="0.3">
      <c r="A454" s="55">
        <v>46157</v>
      </c>
      <c r="B454" s="58" t="s">
        <v>7</v>
      </c>
      <c r="C454" s="41">
        <v>3</v>
      </c>
      <c r="D454" s="57">
        <f>VLOOKUP(B454,[1]lantai9!$B:$G,6,FALSE)</f>
        <v>15000</v>
      </c>
      <c r="E454" s="57">
        <f>VLOOKUP(B454,karyawan!B:D,3,FALSE)</f>
        <v>14000</v>
      </c>
      <c r="F454" s="57" t="str">
        <f>VLOOKUP(B454,karyawan!B:E,4,FALSE)</f>
        <v>Desy</v>
      </c>
      <c r="G454" s="42">
        <v>6</v>
      </c>
      <c r="H454" s="66">
        <f>IFERROR(Inventory!$D112,"0")</f>
        <v>0</v>
      </c>
      <c r="I454" s="32">
        <f t="shared" si="30"/>
        <v>2</v>
      </c>
      <c r="J454" s="70">
        <v>0</v>
      </c>
      <c r="K454" s="41">
        <v>0</v>
      </c>
      <c r="L454" s="76">
        <v>1</v>
      </c>
      <c r="M454" s="32">
        <v>0</v>
      </c>
      <c r="N454" s="41">
        <f t="shared" si="31"/>
        <v>2</v>
      </c>
      <c r="O454" s="67">
        <f t="shared" si="32"/>
        <v>30000</v>
      </c>
    </row>
    <row r="455" spans="1:15" ht="15" customHeight="1" x14ac:dyDescent="0.3">
      <c r="A455" s="55">
        <v>46157</v>
      </c>
      <c r="B455" s="58" t="s">
        <v>8</v>
      </c>
      <c r="C455" s="41">
        <v>3</v>
      </c>
      <c r="D455" s="57">
        <f>VLOOKUP(B455,[1]lantai9!$B:$G,6,FALSE)</f>
        <v>18000</v>
      </c>
      <c r="E455" s="57">
        <f>VLOOKUP(B455,karyawan!B:D,3,FALSE)</f>
        <v>17000</v>
      </c>
      <c r="F455" s="57" t="str">
        <f>VLOOKUP(B455,karyawan!B:E,4,FALSE)</f>
        <v>Geby</v>
      </c>
      <c r="G455" s="42">
        <v>4</v>
      </c>
      <c r="H455" s="66">
        <f>IFERROR(Inventory!$D113,"0")</f>
        <v>0</v>
      </c>
      <c r="I455" s="32">
        <f t="shared" si="30"/>
        <v>1</v>
      </c>
      <c r="J455" s="70">
        <v>0</v>
      </c>
      <c r="K455" s="41">
        <v>0</v>
      </c>
      <c r="L455" s="76">
        <v>0</v>
      </c>
      <c r="M455" s="32">
        <v>1</v>
      </c>
      <c r="N455" s="41">
        <f t="shared" si="31"/>
        <v>0</v>
      </c>
      <c r="O455" s="67">
        <f t="shared" si="32"/>
        <v>0</v>
      </c>
    </row>
    <row r="456" spans="1:15" ht="15" customHeight="1" x14ac:dyDescent="0.3">
      <c r="A456" s="55">
        <v>46157</v>
      </c>
      <c r="B456" s="58" t="s">
        <v>9</v>
      </c>
      <c r="C456" s="41">
        <v>3</v>
      </c>
      <c r="D456" s="57">
        <f>VLOOKUP(B456,[1]lantai9!$B:$G,6,FALSE)</f>
        <v>21000</v>
      </c>
      <c r="E456" s="57">
        <f>VLOOKUP(B456,karyawan!B:D,3,FALSE)</f>
        <v>20000</v>
      </c>
      <c r="F456" s="57" t="str">
        <f>VLOOKUP(B456,karyawan!B:E,4,FALSE)</f>
        <v>Geby</v>
      </c>
      <c r="G456" s="42">
        <v>3</v>
      </c>
      <c r="H456" s="66">
        <f>IFERROR(Inventory!$D114,"0")</f>
        <v>0</v>
      </c>
      <c r="I456" s="32">
        <f t="shared" si="30"/>
        <v>0</v>
      </c>
      <c r="J456" s="69">
        <v>2</v>
      </c>
      <c r="K456" s="41">
        <v>0</v>
      </c>
      <c r="L456" s="76">
        <v>0</v>
      </c>
      <c r="M456" s="32">
        <v>0</v>
      </c>
      <c r="N456" s="41">
        <f t="shared" si="31"/>
        <v>0</v>
      </c>
      <c r="O456" s="67">
        <f t="shared" si="32"/>
        <v>0</v>
      </c>
    </row>
    <row r="457" spans="1:15" ht="15" customHeight="1" x14ac:dyDescent="0.3">
      <c r="A457" s="55">
        <v>46157</v>
      </c>
      <c r="B457" s="58" t="s">
        <v>20</v>
      </c>
      <c r="C457" s="41">
        <v>3</v>
      </c>
      <c r="D457" s="57">
        <f>VLOOKUP(B457,[1]lantai9!$B:$G,6,FALSE)</f>
        <v>35000</v>
      </c>
      <c r="E457" s="57">
        <f>VLOOKUP(B457,karyawan!B:D,3,FALSE)</f>
        <v>34000</v>
      </c>
      <c r="F457" s="57" t="str">
        <f>VLOOKUP(B457,karyawan!B:E,4,FALSE)</f>
        <v>Sherly</v>
      </c>
      <c r="G457" s="42">
        <v>2</v>
      </c>
      <c r="H457" s="66">
        <f>IFERROR(Inventory!$D115,"0")</f>
        <v>0</v>
      </c>
      <c r="I457" s="32">
        <f t="shared" si="30"/>
        <v>2</v>
      </c>
      <c r="J457" s="70">
        <v>0</v>
      </c>
      <c r="K457" s="41">
        <v>0</v>
      </c>
      <c r="L457" s="76">
        <v>2</v>
      </c>
      <c r="M457" s="32">
        <v>2</v>
      </c>
      <c r="N457" s="41">
        <f t="shared" si="31"/>
        <v>0</v>
      </c>
      <c r="O457" s="67">
        <f t="shared" si="32"/>
        <v>0</v>
      </c>
    </row>
    <row r="458" spans="1:15" ht="15" customHeight="1" x14ac:dyDescent="0.3">
      <c r="A458" s="55">
        <v>46157</v>
      </c>
      <c r="B458" s="58" t="s">
        <v>21</v>
      </c>
      <c r="C458" s="41">
        <v>3</v>
      </c>
      <c r="D458" s="57">
        <f>VLOOKUP(B458,[1]lantai9!$B:$G,6,FALSE)</f>
        <v>40000</v>
      </c>
      <c r="E458" s="57">
        <f>VLOOKUP(B458,karyawan!B:D,3,FALSE)</f>
        <v>39000</v>
      </c>
      <c r="F458" s="57" t="str">
        <f>VLOOKUP(B458,karyawan!B:E,4,FALSE)</f>
        <v>Sherly</v>
      </c>
      <c r="G458" s="42">
        <v>4</v>
      </c>
      <c r="H458" s="66">
        <f>IFERROR(Inventory!$D116,"0")</f>
        <v>0</v>
      </c>
      <c r="I458" s="32">
        <f t="shared" si="30"/>
        <v>4</v>
      </c>
      <c r="J458" s="69">
        <v>1</v>
      </c>
      <c r="K458" s="41">
        <v>0</v>
      </c>
      <c r="L458" s="76">
        <v>4</v>
      </c>
      <c r="M458" s="32">
        <v>3</v>
      </c>
      <c r="N458" s="41">
        <f t="shared" si="31"/>
        <v>1</v>
      </c>
      <c r="O458" s="67">
        <f t="shared" si="32"/>
        <v>40000</v>
      </c>
    </row>
    <row r="459" spans="1:15" ht="15" customHeight="1" x14ac:dyDescent="0.3">
      <c r="A459" s="55">
        <v>46157</v>
      </c>
      <c r="B459" s="58" t="s">
        <v>19</v>
      </c>
      <c r="C459" s="41">
        <v>3</v>
      </c>
      <c r="D459" s="57">
        <f>VLOOKUP(B459,[1]lantai9!$B:$G,6,FALSE)</f>
        <v>2500</v>
      </c>
      <c r="E459" s="57">
        <f>VLOOKUP(B459,karyawan!B:D,3,FALSE)</f>
        <v>1480</v>
      </c>
      <c r="F459" s="57" t="str">
        <f>VLOOKUP(B459,karyawan!B:E,4,FALSE)</f>
        <v>Compliance</v>
      </c>
      <c r="G459" s="42">
        <v>12</v>
      </c>
      <c r="H459" s="66">
        <f>IFERROR(Inventory!$D117,"0")</f>
        <v>0</v>
      </c>
      <c r="I459" s="32">
        <f t="shared" si="30"/>
        <v>2</v>
      </c>
      <c r="J459" s="70">
        <v>0</v>
      </c>
      <c r="K459" s="41">
        <v>0</v>
      </c>
      <c r="L459" s="76">
        <v>2</v>
      </c>
      <c r="M459" s="32">
        <v>2</v>
      </c>
      <c r="N459" s="41">
        <f t="shared" si="31"/>
        <v>0</v>
      </c>
      <c r="O459" s="67">
        <f t="shared" si="32"/>
        <v>0</v>
      </c>
    </row>
    <row r="460" spans="1:15" ht="15" customHeight="1" x14ac:dyDescent="0.3">
      <c r="A460" s="55">
        <v>46157</v>
      </c>
      <c r="B460" s="58" t="s">
        <v>17</v>
      </c>
      <c r="C460" s="41">
        <v>3</v>
      </c>
      <c r="D460" s="57">
        <f>VLOOKUP(B460,[1]lantai9!$B:$G,6,FALSE)</f>
        <v>2000</v>
      </c>
      <c r="E460" s="57">
        <f>VLOOKUP(B460,karyawan!B:D,3,FALSE)</f>
        <v>1074</v>
      </c>
      <c r="F460" s="57" t="str">
        <f>VLOOKUP(B460,karyawan!B:E,4,FALSE)</f>
        <v>Compliance</v>
      </c>
      <c r="G460" s="42">
        <v>10</v>
      </c>
      <c r="H460" s="66">
        <f>IFERROR(Inventory!$D118,"0")</f>
        <v>0</v>
      </c>
      <c r="I460" s="32">
        <f t="shared" si="30"/>
        <v>10</v>
      </c>
      <c r="J460" s="69">
        <v>3</v>
      </c>
      <c r="K460" s="41">
        <v>0</v>
      </c>
      <c r="L460" s="76">
        <v>11</v>
      </c>
      <c r="M460" s="32">
        <v>7</v>
      </c>
      <c r="N460" s="41">
        <f t="shared" si="31"/>
        <v>3</v>
      </c>
      <c r="O460" s="67">
        <f t="shared" si="32"/>
        <v>6000</v>
      </c>
    </row>
    <row r="461" spans="1:15" ht="15" customHeight="1" x14ac:dyDescent="0.3">
      <c r="A461" s="55">
        <v>46157</v>
      </c>
      <c r="B461" s="58" t="s">
        <v>5</v>
      </c>
      <c r="C461" s="41">
        <v>3</v>
      </c>
      <c r="D461" s="57">
        <f>VLOOKUP(B461,[1]lantai9!$B:$G,6,FALSE)</f>
        <v>2500</v>
      </c>
      <c r="E461" s="57">
        <f>VLOOKUP(B461,karyawan!B:D,3,FALSE)</f>
        <v>1465</v>
      </c>
      <c r="F461" s="57" t="str">
        <f>VLOOKUP(B461,karyawan!B:E,4,FALSE)</f>
        <v>Compliance</v>
      </c>
      <c r="G461" s="42">
        <v>10</v>
      </c>
      <c r="H461" s="66">
        <f>IFERROR(Inventory!$D119,"0")</f>
        <v>0</v>
      </c>
      <c r="I461" s="32">
        <f t="shared" si="30"/>
        <v>10</v>
      </c>
      <c r="J461" s="69">
        <v>3</v>
      </c>
      <c r="K461" s="41">
        <v>0</v>
      </c>
      <c r="L461" s="76">
        <v>11</v>
      </c>
      <c r="M461" s="32">
        <v>7</v>
      </c>
      <c r="N461" s="41">
        <f t="shared" si="31"/>
        <v>3</v>
      </c>
      <c r="O461" s="67">
        <f t="shared" si="32"/>
        <v>7500</v>
      </c>
    </row>
    <row r="462" spans="1:15" ht="15" customHeight="1" x14ac:dyDescent="0.3">
      <c r="A462" s="55">
        <v>46157</v>
      </c>
      <c r="B462" s="58" t="s">
        <v>3</v>
      </c>
      <c r="C462" s="41">
        <v>3</v>
      </c>
      <c r="D462" s="57">
        <f>VLOOKUP(B462,[1]lantai9!$B:$G,6,FALSE)</f>
        <v>10000</v>
      </c>
      <c r="E462" s="57">
        <f>VLOOKUP(B462,karyawan!B:D,3,FALSE)</f>
        <v>9200</v>
      </c>
      <c r="F462" s="57" t="str">
        <f>VLOOKUP(B462,karyawan!B:E,4,FALSE)</f>
        <v>Compliance</v>
      </c>
      <c r="G462" s="42">
        <v>15</v>
      </c>
      <c r="H462" s="66">
        <f>IFERROR(Inventory!$D120,"0")</f>
        <v>0</v>
      </c>
      <c r="I462" s="32">
        <f t="shared" si="30"/>
        <v>15</v>
      </c>
      <c r="J462" s="69">
        <v>1</v>
      </c>
      <c r="K462" s="41">
        <v>0</v>
      </c>
      <c r="L462" s="76">
        <v>14</v>
      </c>
      <c r="M462" s="32">
        <v>14</v>
      </c>
      <c r="N462" s="41">
        <f t="shared" si="31"/>
        <v>1</v>
      </c>
      <c r="O462" s="67">
        <f t="shared" si="32"/>
        <v>10000</v>
      </c>
    </row>
    <row r="463" spans="1:15" ht="15" customHeight="1" x14ac:dyDescent="0.3">
      <c r="A463" s="55">
        <v>46157</v>
      </c>
      <c r="B463" s="58" t="s">
        <v>18</v>
      </c>
      <c r="C463" s="41">
        <v>3</v>
      </c>
      <c r="D463" s="57">
        <f>VLOOKUP(B463,[1]lantai9!$B:$G,6,FALSE)</f>
        <v>15000</v>
      </c>
      <c r="E463" s="57">
        <f>VLOOKUP(B463,karyawan!B:D,3,FALSE)</f>
        <v>13807</v>
      </c>
      <c r="F463" s="57" t="str">
        <f>VLOOKUP(B463,karyawan!B:E,4,FALSE)</f>
        <v>Compliance</v>
      </c>
      <c r="G463" s="42">
        <v>10</v>
      </c>
      <c r="H463" s="66">
        <f>IFERROR(Inventory!$D121,"0")</f>
        <v>0</v>
      </c>
      <c r="I463" s="32">
        <f t="shared" si="30"/>
        <v>5</v>
      </c>
      <c r="J463" s="70">
        <v>0</v>
      </c>
      <c r="K463" s="41">
        <v>0</v>
      </c>
      <c r="L463" s="76">
        <v>5</v>
      </c>
      <c r="M463" s="32">
        <v>2</v>
      </c>
      <c r="N463" s="41">
        <f t="shared" si="31"/>
        <v>3</v>
      </c>
      <c r="O463" s="67">
        <f t="shared" si="32"/>
        <v>45000</v>
      </c>
    </row>
    <row r="464" spans="1:15" ht="15" customHeight="1" x14ac:dyDescent="0.3">
      <c r="A464" s="55">
        <v>46157</v>
      </c>
      <c r="B464" s="58" t="s">
        <v>10</v>
      </c>
      <c r="C464" s="41">
        <v>3</v>
      </c>
      <c r="D464" s="57">
        <f>VLOOKUP(B464,[1]lantai9!$B:$G,6,FALSE)</f>
        <v>23000</v>
      </c>
      <c r="E464" s="57">
        <f>VLOOKUP(B464,karyawan!B:D,3,FALSE)</f>
        <v>21760</v>
      </c>
      <c r="F464" s="57" t="str">
        <f>VLOOKUP(B464,karyawan!B:E,4,FALSE)</f>
        <v>Compliance</v>
      </c>
      <c r="G464" s="42">
        <v>7</v>
      </c>
      <c r="H464" s="66">
        <f>IFERROR(Inventory!$D122,"0")</f>
        <v>0</v>
      </c>
      <c r="I464" s="32">
        <f t="shared" si="30"/>
        <v>4</v>
      </c>
      <c r="J464" s="70">
        <v>0</v>
      </c>
      <c r="K464" s="41">
        <v>0</v>
      </c>
      <c r="L464" s="76">
        <v>4</v>
      </c>
      <c r="M464" s="32">
        <v>4</v>
      </c>
      <c r="N464" s="41">
        <f t="shared" si="31"/>
        <v>0</v>
      </c>
      <c r="O464" s="67">
        <f t="shared" si="32"/>
        <v>0</v>
      </c>
    </row>
    <row r="465" spans="1:15" ht="15" customHeight="1" x14ac:dyDescent="0.3">
      <c r="A465" s="55">
        <v>46157</v>
      </c>
      <c r="B465" s="56" t="s">
        <v>23</v>
      </c>
      <c r="C465" s="41">
        <v>3</v>
      </c>
      <c r="D465" s="57">
        <f>VLOOKUP(B465,[1]lantai9!$B:$G,6,FALSE)</f>
        <v>11000</v>
      </c>
      <c r="E465" s="57">
        <f>VLOOKUP(B465,karyawan!B:D,3,FALSE)</f>
        <v>10000</v>
      </c>
      <c r="F465" s="57" t="str">
        <f>VLOOKUP(B465,karyawan!B:E,4,FALSE)</f>
        <v>Compliance</v>
      </c>
      <c r="G465" s="42">
        <v>8</v>
      </c>
      <c r="H465" s="66">
        <f>IFERROR(Inventory!$D123,"0")</f>
        <v>0</v>
      </c>
      <c r="I465" s="32">
        <f t="shared" si="30"/>
        <v>7</v>
      </c>
      <c r="J465" s="69">
        <v>2</v>
      </c>
      <c r="K465" s="41">
        <v>0</v>
      </c>
      <c r="L465" s="76">
        <v>5</v>
      </c>
      <c r="M465" s="32">
        <v>6</v>
      </c>
      <c r="N465" s="41">
        <f t="shared" si="31"/>
        <v>1</v>
      </c>
      <c r="O465" s="67">
        <f t="shared" si="32"/>
        <v>11000</v>
      </c>
    </row>
    <row r="466" spans="1:15" ht="15" customHeight="1" x14ac:dyDescent="0.3">
      <c r="A466" s="55">
        <v>46157</v>
      </c>
      <c r="B466" s="56" t="s">
        <v>24</v>
      </c>
      <c r="C466" s="41">
        <v>3</v>
      </c>
      <c r="D466" s="57">
        <f>VLOOKUP(B466,[1]lantai9!$B:$G,6,FALSE)</f>
        <v>14500</v>
      </c>
      <c r="E466" s="57">
        <f>VLOOKUP(B466,karyawan!B:D,3,FALSE)</f>
        <v>13500</v>
      </c>
      <c r="F466" s="57" t="str">
        <f>VLOOKUP(B466,karyawan!B:E,4,FALSE)</f>
        <v>Compliance</v>
      </c>
      <c r="G466" s="42">
        <v>6</v>
      </c>
      <c r="H466" s="66">
        <f>IFERROR(Inventory!$D124,"0")</f>
        <v>0</v>
      </c>
      <c r="I466" s="32">
        <f t="shared" si="30"/>
        <v>3</v>
      </c>
      <c r="J466" s="70">
        <v>0</v>
      </c>
      <c r="K466" s="41">
        <v>0</v>
      </c>
      <c r="L466" s="76">
        <v>4</v>
      </c>
      <c r="M466" s="32">
        <v>3</v>
      </c>
      <c r="N466" s="41">
        <f t="shared" si="31"/>
        <v>0</v>
      </c>
      <c r="O466" s="67">
        <f t="shared" si="32"/>
        <v>0</v>
      </c>
    </row>
    <row r="467" spans="1:15" ht="15" customHeight="1" x14ac:dyDescent="0.3">
      <c r="A467" s="55">
        <v>46157</v>
      </c>
      <c r="B467" s="56" t="s">
        <v>15</v>
      </c>
      <c r="C467" s="41">
        <v>3</v>
      </c>
      <c r="D467" s="57">
        <f>VLOOKUP(B467,[1]lantai9!$B:$G,6,FALSE)</f>
        <v>3500</v>
      </c>
      <c r="E467" s="57">
        <f>VLOOKUP(B467,karyawan!B:D,3,FALSE)</f>
        <v>2500</v>
      </c>
      <c r="F467" s="57" t="str">
        <f>VLOOKUP(B467,karyawan!B:E,4,FALSE)</f>
        <v>Compliance</v>
      </c>
      <c r="G467" s="42">
        <v>20</v>
      </c>
      <c r="H467" s="66">
        <f>IFERROR(Inventory!$D125,"0")</f>
        <v>0</v>
      </c>
      <c r="I467" s="32">
        <f t="shared" si="30"/>
        <v>5</v>
      </c>
      <c r="J467" s="70">
        <v>0</v>
      </c>
      <c r="K467" s="41">
        <v>0</v>
      </c>
      <c r="L467" s="76">
        <v>5</v>
      </c>
      <c r="M467" s="32">
        <v>5</v>
      </c>
      <c r="N467" s="41">
        <f t="shared" si="31"/>
        <v>0</v>
      </c>
      <c r="O467" s="67">
        <f t="shared" si="32"/>
        <v>0</v>
      </c>
    </row>
    <row r="468" spans="1:15" ht="15" customHeight="1" x14ac:dyDescent="0.3">
      <c r="A468" s="55">
        <v>46157</v>
      </c>
      <c r="B468" s="56" t="s">
        <v>22</v>
      </c>
      <c r="C468" s="41">
        <v>3</v>
      </c>
      <c r="D468" s="57">
        <f>VLOOKUP(B468,[1]lantai9!$B:$G,6,FALSE)</f>
        <v>5500</v>
      </c>
      <c r="E468" s="57">
        <f>VLOOKUP(B468,karyawan!B:D,3,FALSE)</f>
        <v>4500</v>
      </c>
      <c r="F468" s="57" t="str">
        <f>VLOOKUP(B468,karyawan!B:E,4,FALSE)</f>
        <v>Compliance</v>
      </c>
      <c r="G468" s="42">
        <v>8</v>
      </c>
      <c r="H468" s="66">
        <f>IFERROR(Inventory!$D126,"0")</f>
        <v>0</v>
      </c>
      <c r="I468" s="32">
        <f t="shared" si="30"/>
        <v>9</v>
      </c>
      <c r="J468" s="70">
        <v>0</v>
      </c>
      <c r="K468" s="41">
        <v>0</v>
      </c>
      <c r="L468" s="76">
        <v>9</v>
      </c>
      <c r="M468" s="32">
        <v>8</v>
      </c>
      <c r="N468" s="41">
        <f t="shared" si="31"/>
        <v>1</v>
      </c>
      <c r="O468" s="67">
        <f t="shared" si="32"/>
        <v>5500</v>
      </c>
    </row>
    <row r="469" spans="1:15" ht="15" customHeight="1" x14ac:dyDescent="0.3">
      <c r="A469" s="55">
        <v>46157</v>
      </c>
      <c r="B469" s="56" t="s">
        <v>25</v>
      </c>
      <c r="C469" s="41">
        <v>3</v>
      </c>
      <c r="D469" s="57">
        <f>VLOOKUP(B469,[1]lantai9!$B:$G,6,FALSE)</f>
        <v>9000</v>
      </c>
      <c r="E469" s="57">
        <f>VLOOKUP(B469,karyawan!B:D,3,FALSE)</f>
        <v>8000</v>
      </c>
      <c r="F469" s="57" t="str">
        <f>VLOOKUP(B469,karyawan!B:E,4,FALSE)</f>
        <v>Compliance</v>
      </c>
      <c r="G469" s="42">
        <v>3</v>
      </c>
      <c r="H469" s="66">
        <f>IFERROR(Inventory!$D127,"0")</f>
        <v>0</v>
      </c>
      <c r="I469" s="32">
        <f t="shared" si="30"/>
        <v>0</v>
      </c>
      <c r="J469" s="70">
        <v>0</v>
      </c>
      <c r="K469" s="41">
        <v>0</v>
      </c>
      <c r="L469" s="76">
        <v>10</v>
      </c>
      <c r="M469" s="32">
        <v>0</v>
      </c>
      <c r="N469" s="41">
        <f t="shared" si="31"/>
        <v>0</v>
      </c>
      <c r="O469" s="67">
        <f t="shared" si="32"/>
        <v>0</v>
      </c>
    </row>
    <row r="470" spans="1:15" ht="15" customHeight="1" x14ac:dyDescent="0.3">
      <c r="A470" s="55">
        <v>46157</v>
      </c>
      <c r="B470" s="58" t="s">
        <v>4</v>
      </c>
      <c r="C470" s="41">
        <v>8</v>
      </c>
      <c r="D470" s="57">
        <f>VLOOKUP(B470,[1]lantai9!$B:$G,6,FALSE)</f>
        <v>35000</v>
      </c>
      <c r="E470" s="57">
        <f>VLOOKUP(B470,karyawan!B:D,3,FALSE)</f>
        <v>34000</v>
      </c>
      <c r="F470" s="57" t="str">
        <f>VLOOKUP(B470,karyawan!B:E,4,FALSE)</f>
        <v>Florida</v>
      </c>
      <c r="G470" s="42">
        <v>5</v>
      </c>
      <c r="H470" s="66">
        <f t="shared" ref="H470:H511" si="33">H449-J449</f>
        <v>-5</v>
      </c>
      <c r="I470" s="32">
        <f t="shared" si="30"/>
        <v>4</v>
      </c>
      <c r="J470" s="71">
        <v>1</v>
      </c>
      <c r="K470" s="41">
        <v>0</v>
      </c>
      <c r="L470" s="76">
        <v>4</v>
      </c>
      <c r="M470" s="32">
        <v>4</v>
      </c>
      <c r="N470" s="41">
        <f t="shared" si="31"/>
        <v>0</v>
      </c>
      <c r="O470" s="67">
        <f t="shared" si="32"/>
        <v>0</v>
      </c>
    </row>
    <row r="471" spans="1:15" ht="15" customHeight="1" x14ac:dyDescent="0.3">
      <c r="A471" s="55">
        <v>46157</v>
      </c>
      <c r="B471" s="58" t="s">
        <v>13</v>
      </c>
      <c r="C471" s="41">
        <v>8</v>
      </c>
      <c r="D471" s="57">
        <f>VLOOKUP(B471,[1]lantai9!$B:$G,6,FALSE)</f>
        <v>23000</v>
      </c>
      <c r="E471" s="57">
        <f>VLOOKUP(B471,karyawan!B:D,3,FALSE)</f>
        <v>22000</v>
      </c>
      <c r="F471" s="57" t="str">
        <f>VLOOKUP(B471,karyawan!B:E,4,FALSE)</f>
        <v>Yohannes</v>
      </c>
      <c r="G471" s="42">
        <v>6</v>
      </c>
      <c r="H471" s="66">
        <f t="shared" si="33"/>
        <v>-2</v>
      </c>
      <c r="I471" s="32">
        <f t="shared" si="30"/>
        <v>6</v>
      </c>
      <c r="J471" s="71">
        <v>3</v>
      </c>
      <c r="K471" s="41">
        <v>0</v>
      </c>
      <c r="L471" s="76">
        <v>13</v>
      </c>
      <c r="M471" s="32">
        <v>3</v>
      </c>
      <c r="N471" s="41">
        <f t="shared" si="31"/>
        <v>3</v>
      </c>
      <c r="O471" s="67">
        <f t="shared" si="32"/>
        <v>69000</v>
      </c>
    </row>
    <row r="472" spans="1:15" ht="15" customHeight="1" x14ac:dyDescent="0.3">
      <c r="A472" s="55">
        <v>46157</v>
      </c>
      <c r="B472" s="58" t="s">
        <v>12</v>
      </c>
      <c r="C472" s="41">
        <v>8</v>
      </c>
      <c r="D472" s="57">
        <f>VLOOKUP(B472,[1]lantai9!$B:$G,6,FALSE)</f>
        <v>21000</v>
      </c>
      <c r="E472" s="57">
        <f>VLOOKUP(B472,karyawan!B:D,3,FALSE)</f>
        <v>20000</v>
      </c>
      <c r="F472" s="57" t="str">
        <f>VLOOKUP(B472,karyawan!B:E,4,FALSE)</f>
        <v>Damaz</v>
      </c>
      <c r="G472" s="42">
        <v>2</v>
      </c>
      <c r="H472" s="66">
        <f t="shared" si="33"/>
        <v>0</v>
      </c>
      <c r="I472" s="32">
        <f t="shared" si="30"/>
        <v>1</v>
      </c>
      <c r="J472" s="72">
        <v>0</v>
      </c>
      <c r="K472" s="41">
        <v>0</v>
      </c>
      <c r="L472" s="76">
        <v>1</v>
      </c>
      <c r="M472" s="32">
        <v>0</v>
      </c>
      <c r="N472" s="41">
        <f t="shared" si="31"/>
        <v>1</v>
      </c>
      <c r="O472" s="67">
        <f t="shared" si="32"/>
        <v>21000</v>
      </c>
    </row>
    <row r="473" spans="1:15" ht="15" customHeight="1" x14ac:dyDescent="0.3">
      <c r="A473" s="55">
        <v>46157</v>
      </c>
      <c r="B473" s="58" t="s">
        <v>11</v>
      </c>
      <c r="C473" s="41">
        <v>8</v>
      </c>
      <c r="D473" s="57">
        <f>VLOOKUP(B473,[1]lantai9!$B:$G,6,FALSE)</f>
        <v>36000</v>
      </c>
      <c r="E473" s="57">
        <f>VLOOKUP(B473,karyawan!B:D,3,FALSE)</f>
        <v>35000</v>
      </c>
      <c r="F473" s="57" t="str">
        <f>VLOOKUP(B473,karyawan!B:E,4,FALSE)</f>
        <v>Damaz</v>
      </c>
      <c r="G473" s="42">
        <v>3</v>
      </c>
      <c r="H473" s="66">
        <f t="shared" si="33"/>
        <v>0</v>
      </c>
      <c r="I473" s="32">
        <f t="shared" si="30"/>
        <v>2</v>
      </c>
      <c r="J473" s="72">
        <v>0</v>
      </c>
      <c r="K473" s="41">
        <v>0</v>
      </c>
      <c r="L473" s="76">
        <v>2</v>
      </c>
      <c r="M473" s="32">
        <v>2</v>
      </c>
      <c r="N473" s="41">
        <f t="shared" si="31"/>
        <v>0</v>
      </c>
      <c r="O473" s="67">
        <f t="shared" si="32"/>
        <v>0</v>
      </c>
    </row>
    <row r="474" spans="1:15" ht="15" customHeight="1" x14ac:dyDescent="0.3">
      <c r="A474" s="55">
        <v>46157</v>
      </c>
      <c r="B474" s="58" t="s">
        <v>14</v>
      </c>
      <c r="C474" s="41">
        <v>8</v>
      </c>
      <c r="D474" s="57">
        <f>VLOOKUP(B474,[1]lantai9!$B:$G,6,FALSE)</f>
        <v>23000</v>
      </c>
      <c r="E474" s="57">
        <f>VLOOKUP(B474,karyawan!B:D,3,FALSE)</f>
        <v>22000</v>
      </c>
      <c r="F474" s="57" t="str">
        <f>VLOOKUP(B474,karyawan!B:E,4,FALSE)</f>
        <v>Vale</v>
      </c>
      <c r="G474" s="42">
        <v>5</v>
      </c>
      <c r="H474" s="66">
        <f t="shared" si="33"/>
        <v>0</v>
      </c>
      <c r="I474" s="32">
        <f t="shared" si="30"/>
        <v>3</v>
      </c>
      <c r="J474" s="71">
        <v>0</v>
      </c>
      <c r="K474" s="41">
        <v>0</v>
      </c>
      <c r="L474" s="76">
        <v>4</v>
      </c>
      <c r="M474" s="32">
        <v>2</v>
      </c>
      <c r="N474" s="41">
        <f t="shared" si="31"/>
        <v>1</v>
      </c>
      <c r="O474" s="67">
        <f t="shared" si="32"/>
        <v>23000</v>
      </c>
    </row>
    <row r="475" spans="1:15" ht="15" customHeight="1" x14ac:dyDescent="0.3">
      <c r="A475" s="55">
        <v>46157</v>
      </c>
      <c r="B475" s="58" t="s">
        <v>7</v>
      </c>
      <c r="C475" s="41">
        <v>8</v>
      </c>
      <c r="D475" s="57">
        <f>VLOOKUP(B475,[1]lantai9!$B:$G,6,FALSE)</f>
        <v>15000</v>
      </c>
      <c r="E475" s="57">
        <f>VLOOKUP(B475,karyawan!B:D,3,FALSE)</f>
        <v>14000</v>
      </c>
      <c r="F475" s="57" t="str">
        <f>VLOOKUP(B475,karyawan!B:E,4,FALSE)</f>
        <v>Desy</v>
      </c>
      <c r="G475" s="42">
        <v>6</v>
      </c>
      <c r="H475" s="66">
        <f t="shared" si="33"/>
        <v>0</v>
      </c>
      <c r="I475" s="32">
        <f t="shared" si="30"/>
        <v>6</v>
      </c>
      <c r="J475" s="72">
        <v>0</v>
      </c>
      <c r="K475" s="41">
        <v>0</v>
      </c>
      <c r="L475" s="76">
        <v>3</v>
      </c>
      <c r="M475" s="32">
        <v>6</v>
      </c>
      <c r="N475" s="41">
        <f t="shared" si="31"/>
        <v>0</v>
      </c>
      <c r="O475" s="67">
        <f t="shared" si="32"/>
        <v>0</v>
      </c>
    </row>
    <row r="476" spans="1:15" ht="15" customHeight="1" x14ac:dyDescent="0.3">
      <c r="A476" s="55">
        <v>46157</v>
      </c>
      <c r="B476" s="58" t="s">
        <v>8</v>
      </c>
      <c r="C476" s="41">
        <v>8</v>
      </c>
      <c r="D476" s="57">
        <f>VLOOKUP(B476,[1]lantai9!$B:$G,6,FALSE)</f>
        <v>18000</v>
      </c>
      <c r="E476" s="57">
        <f>VLOOKUP(B476,karyawan!B:D,3,FALSE)</f>
        <v>17000</v>
      </c>
      <c r="F476" s="57" t="str">
        <f>VLOOKUP(B476,karyawan!B:E,4,FALSE)</f>
        <v>Geby</v>
      </c>
      <c r="G476" s="42">
        <v>4</v>
      </c>
      <c r="H476" s="66">
        <f t="shared" si="33"/>
        <v>0</v>
      </c>
      <c r="I476" s="32">
        <f t="shared" si="30"/>
        <v>4</v>
      </c>
      <c r="J476" s="72">
        <v>0</v>
      </c>
      <c r="K476" s="41">
        <v>0</v>
      </c>
      <c r="L476" s="76">
        <v>2</v>
      </c>
      <c r="M476" s="32">
        <v>3</v>
      </c>
      <c r="N476" s="41">
        <f t="shared" si="31"/>
        <v>1</v>
      </c>
      <c r="O476" s="67">
        <f t="shared" si="32"/>
        <v>18000</v>
      </c>
    </row>
    <row r="477" spans="1:15" ht="15" customHeight="1" x14ac:dyDescent="0.3">
      <c r="A477" s="55">
        <v>46157</v>
      </c>
      <c r="B477" s="58" t="s">
        <v>9</v>
      </c>
      <c r="C477" s="41">
        <v>8</v>
      </c>
      <c r="D477" s="57">
        <f>VLOOKUP(B477,[1]lantai9!$B:$G,6,FALSE)</f>
        <v>21000</v>
      </c>
      <c r="E477" s="57">
        <f>VLOOKUP(B477,karyawan!B:D,3,FALSE)</f>
        <v>20000</v>
      </c>
      <c r="F477" s="57" t="str">
        <f>VLOOKUP(B477,karyawan!B:E,4,FALSE)</f>
        <v>Geby</v>
      </c>
      <c r="G477" s="42">
        <v>3</v>
      </c>
      <c r="H477" s="66">
        <f t="shared" si="33"/>
        <v>-2</v>
      </c>
      <c r="I477" s="32">
        <f t="shared" si="30"/>
        <v>1</v>
      </c>
      <c r="J477" s="71">
        <v>1</v>
      </c>
      <c r="K477" s="41">
        <v>0</v>
      </c>
      <c r="L477" s="76">
        <v>0</v>
      </c>
      <c r="M477" s="32">
        <v>1</v>
      </c>
      <c r="N477" s="41">
        <f t="shared" si="31"/>
        <v>0</v>
      </c>
      <c r="O477" s="67">
        <f t="shared" si="32"/>
        <v>0</v>
      </c>
    </row>
    <row r="478" spans="1:15" ht="15" customHeight="1" x14ac:dyDescent="0.3">
      <c r="A478" s="55">
        <v>46157</v>
      </c>
      <c r="B478" s="58" t="s">
        <v>20</v>
      </c>
      <c r="C478" s="41">
        <v>8</v>
      </c>
      <c r="D478" s="57">
        <f>VLOOKUP(B478,[1]lantai9!$B:$G,6,FALSE)</f>
        <v>35000</v>
      </c>
      <c r="E478" s="57">
        <f>VLOOKUP(B478,karyawan!B:D,3,FALSE)</f>
        <v>34000</v>
      </c>
      <c r="F478" s="57" t="str">
        <f>VLOOKUP(B478,karyawan!B:E,4,FALSE)</f>
        <v>Sherly</v>
      </c>
      <c r="G478" s="42">
        <v>2</v>
      </c>
      <c r="H478" s="66">
        <f t="shared" si="33"/>
        <v>0</v>
      </c>
      <c r="I478" s="32">
        <f t="shared" si="30"/>
        <v>2</v>
      </c>
      <c r="J478" s="72">
        <v>0</v>
      </c>
      <c r="K478" s="41">
        <v>0</v>
      </c>
      <c r="L478" s="76">
        <v>0</v>
      </c>
      <c r="M478" s="32">
        <v>2</v>
      </c>
      <c r="N478" s="41">
        <f t="shared" si="31"/>
        <v>0</v>
      </c>
      <c r="O478" s="67">
        <f t="shared" si="32"/>
        <v>0</v>
      </c>
    </row>
    <row r="479" spans="1:15" ht="15" customHeight="1" x14ac:dyDescent="0.3">
      <c r="A479" s="55">
        <v>46157</v>
      </c>
      <c r="B479" s="58" t="s">
        <v>21</v>
      </c>
      <c r="C479" s="41">
        <v>8</v>
      </c>
      <c r="D479" s="57">
        <f>VLOOKUP(B479,[1]lantai9!$B:$G,6,FALSE)</f>
        <v>40000</v>
      </c>
      <c r="E479" s="57">
        <f>VLOOKUP(B479,karyawan!B:D,3,FALSE)</f>
        <v>39000</v>
      </c>
      <c r="F479" s="57" t="str">
        <f>VLOOKUP(B479,karyawan!B:E,4,FALSE)</f>
        <v>Sherly</v>
      </c>
      <c r="G479" s="42">
        <v>4</v>
      </c>
      <c r="H479" s="66">
        <f t="shared" si="33"/>
        <v>-1</v>
      </c>
      <c r="I479" s="32">
        <f t="shared" si="30"/>
        <v>4</v>
      </c>
      <c r="J479" s="72">
        <v>0</v>
      </c>
      <c r="K479" s="41">
        <v>0</v>
      </c>
      <c r="L479" s="76">
        <v>4</v>
      </c>
      <c r="M479" s="32">
        <v>4</v>
      </c>
      <c r="N479" s="41">
        <f t="shared" si="31"/>
        <v>0</v>
      </c>
      <c r="O479" s="67">
        <f t="shared" si="32"/>
        <v>0</v>
      </c>
    </row>
    <row r="480" spans="1:15" ht="15" customHeight="1" x14ac:dyDescent="0.3">
      <c r="A480" s="55">
        <v>46157</v>
      </c>
      <c r="B480" s="58" t="s">
        <v>19</v>
      </c>
      <c r="C480" s="41">
        <v>8</v>
      </c>
      <c r="D480" s="57">
        <f>VLOOKUP(B480,[1]lantai9!$B:$G,6,FALSE)</f>
        <v>2500</v>
      </c>
      <c r="E480" s="57">
        <f>VLOOKUP(B480,karyawan!B:D,3,FALSE)</f>
        <v>1480</v>
      </c>
      <c r="F480" s="57" t="str">
        <f>VLOOKUP(B480,karyawan!B:E,4,FALSE)</f>
        <v>Compliance</v>
      </c>
      <c r="G480" s="42">
        <v>12</v>
      </c>
      <c r="H480" s="66">
        <f t="shared" si="33"/>
        <v>0</v>
      </c>
      <c r="I480" s="32">
        <f t="shared" si="30"/>
        <v>0</v>
      </c>
      <c r="J480" s="72">
        <v>0</v>
      </c>
      <c r="K480" s="41">
        <v>0</v>
      </c>
      <c r="L480" s="76">
        <v>1</v>
      </c>
      <c r="M480" s="32">
        <v>0</v>
      </c>
      <c r="N480" s="41">
        <f t="shared" si="31"/>
        <v>0</v>
      </c>
      <c r="O480" s="67">
        <f t="shared" si="32"/>
        <v>0</v>
      </c>
    </row>
    <row r="481" spans="1:15" ht="15" customHeight="1" x14ac:dyDescent="0.3">
      <c r="A481" s="55">
        <v>46157</v>
      </c>
      <c r="B481" s="58" t="s">
        <v>17</v>
      </c>
      <c r="C481" s="41">
        <v>8</v>
      </c>
      <c r="D481" s="57">
        <f>VLOOKUP(B481,[1]lantai9!$B:$G,6,FALSE)</f>
        <v>2000</v>
      </c>
      <c r="E481" s="57">
        <f>VLOOKUP(B481,karyawan!B:D,3,FALSE)</f>
        <v>1074</v>
      </c>
      <c r="F481" s="57" t="str">
        <f>VLOOKUP(B481,karyawan!B:E,4,FALSE)</f>
        <v>Compliance</v>
      </c>
      <c r="G481" s="42">
        <v>10</v>
      </c>
      <c r="H481" s="66">
        <f t="shared" si="33"/>
        <v>-3</v>
      </c>
      <c r="I481" s="32">
        <f t="shared" si="30"/>
        <v>10</v>
      </c>
      <c r="J481" s="71">
        <v>5</v>
      </c>
      <c r="K481" s="41">
        <v>0</v>
      </c>
      <c r="L481" s="76">
        <v>6</v>
      </c>
      <c r="M481" s="32">
        <v>5</v>
      </c>
      <c r="N481" s="41">
        <f t="shared" si="31"/>
        <v>5</v>
      </c>
      <c r="O481" s="67">
        <f t="shared" si="32"/>
        <v>10000</v>
      </c>
    </row>
    <row r="482" spans="1:15" ht="15" customHeight="1" x14ac:dyDescent="0.3">
      <c r="A482" s="55">
        <v>46157</v>
      </c>
      <c r="B482" s="58" t="s">
        <v>5</v>
      </c>
      <c r="C482" s="41">
        <v>8</v>
      </c>
      <c r="D482" s="57">
        <f>VLOOKUP(B482,[1]lantai9!$B:$G,6,FALSE)</f>
        <v>2500</v>
      </c>
      <c r="E482" s="57">
        <f>VLOOKUP(B482,karyawan!B:D,3,FALSE)</f>
        <v>1465</v>
      </c>
      <c r="F482" s="57" t="str">
        <f>VLOOKUP(B482,karyawan!B:E,4,FALSE)</f>
        <v>Compliance</v>
      </c>
      <c r="G482" s="42">
        <v>10</v>
      </c>
      <c r="H482" s="66">
        <f t="shared" si="33"/>
        <v>-3</v>
      </c>
      <c r="I482" s="32">
        <f t="shared" ref="I482:I513" si="34">J419+M419+K482</f>
        <v>10</v>
      </c>
      <c r="J482" s="71">
        <v>3</v>
      </c>
      <c r="K482" s="41">
        <v>0</v>
      </c>
      <c r="L482" s="76">
        <v>10</v>
      </c>
      <c r="M482" s="32">
        <v>7</v>
      </c>
      <c r="N482" s="41">
        <f t="shared" si="31"/>
        <v>3</v>
      </c>
      <c r="O482" s="67">
        <f t="shared" si="32"/>
        <v>7500</v>
      </c>
    </row>
    <row r="483" spans="1:15" ht="15" customHeight="1" x14ac:dyDescent="0.3">
      <c r="A483" s="55">
        <v>46157</v>
      </c>
      <c r="B483" s="58" t="s">
        <v>3</v>
      </c>
      <c r="C483" s="41">
        <v>8</v>
      </c>
      <c r="D483" s="57">
        <f>VLOOKUP(B483,[1]lantai9!$B:$G,6,FALSE)</f>
        <v>10000</v>
      </c>
      <c r="E483" s="57">
        <f>VLOOKUP(B483,karyawan!B:D,3,FALSE)</f>
        <v>9200</v>
      </c>
      <c r="F483" s="57" t="str">
        <f>VLOOKUP(B483,karyawan!B:E,4,FALSE)</f>
        <v>Compliance</v>
      </c>
      <c r="G483" s="42">
        <v>15</v>
      </c>
      <c r="H483" s="66">
        <f t="shared" si="33"/>
        <v>-1</v>
      </c>
      <c r="I483" s="32">
        <f t="shared" si="34"/>
        <v>15</v>
      </c>
      <c r="J483" s="71">
        <v>4</v>
      </c>
      <c r="K483" s="41">
        <v>0</v>
      </c>
      <c r="L483" s="76">
        <v>13</v>
      </c>
      <c r="M483" s="32">
        <v>11</v>
      </c>
      <c r="N483" s="41">
        <f t="shared" si="31"/>
        <v>4</v>
      </c>
      <c r="O483" s="67">
        <f t="shared" si="32"/>
        <v>40000</v>
      </c>
    </row>
    <row r="484" spans="1:15" ht="15" customHeight="1" x14ac:dyDescent="0.3">
      <c r="A484" s="55">
        <v>46157</v>
      </c>
      <c r="B484" s="58" t="s">
        <v>18</v>
      </c>
      <c r="C484" s="41">
        <v>8</v>
      </c>
      <c r="D484" s="57">
        <f>VLOOKUP(B484,[1]lantai9!$B:$G,6,FALSE)</f>
        <v>15000</v>
      </c>
      <c r="E484" s="57">
        <f>VLOOKUP(B484,karyawan!B:D,3,FALSE)</f>
        <v>13807</v>
      </c>
      <c r="F484" s="57" t="str">
        <f>VLOOKUP(B484,karyawan!B:E,4,FALSE)</f>
        <v>Compliance</v>
      </c>
      <c r="G484" s="42">
        <v>10</v>
      </c>
      <c r="H484" s="66">
        <f t="shared" si="33"/>
        <v>0</v>
      </c>
      <c r="I484" s="32">
        <f t="shared" si="34"/>
        <v>8</v>
      </c>
      <c r="J484" s="72">
        <v>0</v>
      </c>
      <c r="K484" s="41">
        <v>0</v>
      </c>
      <c r="L484" s="76">
        <v>3</v>
      </c>
      <c r="M484" s="32">
        <v>2</v>
      </c>
      <c r="N484" s="41">
        <f t="shared" si="31"/>
        <v>6</v>
      </c>
      <c r="O484" s="67">
        <f t="shared" si="32"/>
        <v>90000</v>
      </c>
    </row>
    <row r="485" spans="1:15" ht="15" customHeight="1" x14ac:dyDescent="0.3">
      <c r="A485" s="55">
        <v>46157</v>
      </c>
      <c r="B485" s="58" t="s">
        <v>10</v>
      </c>
      <c r="C485" s="41">
        <v>8</v>
      </c>
      <c r="D485" s="57">
        <f>VLOOKUP(B485,[1]lantai9!$B:$G,6,FALSE)</f>
        <v>23000</v>
      </c>
      <c r="E485" s="57">
        <f>VLOOKUP(B485,karyawan!B:D,3,FALSE)</f>
        <v>21760</v>
      </c>
      <c r="F485" s="57" t="str">
        <f>VLOOKUP(B485,karyawan!B:E,4,FALSE)</f>
        <v>Compliance</v>
      </c>
      <c r="G485" s="42">
        <v>7</v>
      </c>
      <c r="H485" s="66">
        <f t="shared" si="33"/>
        <v>0</v>
      </c>
      <c r="I485" s="32">
        <f t="shared" si="34"/>
        <v>6</v>
      </c>
      <c r="J485" s="72">
        <v>0</v>
      </c>
      <c r="K485" s="41">
        <v>0</v>
      </c>
      <c r="L485" s="76">
        <v>6</v>
      </c>
      <c r="M485" s="32">
        <v>5</v>
      </c>
      <c r="N485" s="41">
        <f t="shared" si="31"/>
        <v>1</v>
      </c>
      <c r="O485" s="67">
        <f t="shared" si="32"/>
        <v>23000</v>
      </c>
    </row>
    <row r="486" spans="1:15" ht="15" customHeight="1" x14ac:dyDescent="0.3">
      <c r="A486" s="55">
        <v>46157</v>
      </c>
      <c r="B486" s="56" t="s">
        <v>23</v>
      </c>
      <c r="C486" s="41">
        <v>8</v>
      </c>
      <c r="D486" s="57">
        <f>VLOOKUP(B486,[1]lantai9!$B:$G,6,FALSE)</f>
        <v>11000</v>
      </c>
      <c r="E486" s="57">
        <f>VLOOKUP(B486,karyawan!B:D,3,FALSE)</f>
        <v>10000</v>
      </c>
      <c r="F486" s="57" t="str">
        <f>VLOOKUP(B486,karyawan!B:E,4,FALSE)</f>
        <v>Compliance</v>
      </c>
      <c r="G486" s="42">
        <v>8</v>
      </c>
      <c r="H486" s="66">
        <f t="shared" si="33"/>
        <v>-2</v>
      </c>
      <c r="I486" s="32">
        <f t="shared" si="34"/>
        <v>7</v>
      </c>
      <c r="J486" s="71">
        <v>2</v>
      </c>
      <c r="K486" s="41">
        <v>0</v>
      </c>
      <c r="L486" s="76">
        <v>6</v>
      </c>
      <c r="M486" s="32">
        <v>6</v>
      </c>
      <c r="N486" s="41">
        <f t="shared" si="31"/>
        <v>1</v>
      </c>
      <c r="O486" s="67">
        <f t="shared" si="32"/>
        <v>11000</v>
      </c>
    </row>
    <row r="487" spans="1:15" ht="15" customHeight="1" x14ac:dyDescent="0.3">
      <c r="A487" s="55">
        <v>46157</v>
      </c>
      <c r="B487" s="56" t="s">
        <v>24</v>
      </c>
      <c r="C487" s="41">
        <v>8</v>
      </c>
      <c r="D487" s="57">
        <f>VLOOKUP(B487,[1]lantai9!$B:$G,6,FALSE)</f>
        <v>14500</v>
      </c>
      <c r="E487" s="57">
        <f>VLOOKUP(B487,karyawan!B:D,3,FALSE)</f>
        <v>13500</v>
      </c>
      <c r="F487" s="57" t="str">
        <f>VLOOKUP(B487,karyawan!B:E,4,FALSE)</f>
        <v>Compliance</v>
      </c>
      <c r="G487" s="42">
        <v>6</v>
      </c>
      <c r="H487" s="66">
        <f t="shared" si="33"/>
        <v>0</v>
      </c>
      <c r="I487" s="32">
        <f t="shared" si="34"/>
        <v>0</v>
      </c>
      <c r="J487" s="71">
        <v>6</v>
      </c>
      <c r="K487" s="41">
        <v>0</v>
      </c>
      <c r="L487" s="76">
        <v>0</v>
      </c>
      <c r="M487" s="32">
        <v>0</v>
      </c>
      <c r="N487" s="41">
        <f t="shared" si="31"/>
        <v>0</v>
      </c>
      <c r="O487" s="67">
        <f t="shared" si="32"/>
        <v>0</v>
      </c>
    </row>
    <row r="488" spans="1:15" ht="15" customHeight="1" x14ac:dyDescent="0.3">
      <c r="A488" s="55">
        <v>46157</v>
      </c>
      <c r="B488" s="56" t="s">
        <v>15</v>
      </c>
      <c r="C488" s="41">
        <v>8</v>
      </c>
      <c r="D488" s="57">
        <f>VLOOKUP(B488,[1]lantai9!$B:$G,6,FALSE)</f>
        <v>3500</v>
      </c>
      <c r="E488" s="57">
        <f>VLOOKUP(B488,karyawan!B:D,3,FALSE)</f>
        <v>2500</v>
      </c>
      <c r="F488" s="57" t="str">
        <f>VLOOKUP(B488,karyawan!B:E,4,FALSE)</f>
        <v>Compliance</v>
      </c>
      <c r="G488" s="42">
        <v>20</v>
      </c>
      <c r="H488" s="66">
        <f t="shared" si="33"/>
        <v>0</v>
      </c>
      <c r="I488" s="32">
        <f t="shared" si="34"/>
        <v>16</v>
      </c>
      <c r="J488" s="72">
        <v>0</v>
      </c>
      <c r="K488" s="41">
        <v>0</v>
      </c>
      <c r="L488" s="76">
        <v>16</v>
      </c>
      <c r="M488" s="32">
        <v>16</v>
      </c>
      <c r="N488" s="41">
        <f t="shared" si="31"/>
        <v>0</v>
      </c>
      <c r="O488" s="67">
        <f t="shared" si="32"/>
        <v>0</v>
      </c>
    </row>
    <row r="489" spans="1:15" ht="15" customHeight="1" x14ac:dyDescent="0.3">
      <c r="A489" s="55">
        <v>46157</v>
      </c>
      <c r="B489" s="56" t="s">
        <v>22</v>
      </c>
      <c r="C489" s="41">
        <v>8</v>
      </c>
      <c r="D489" s="57">
        <f>VLOOKUP(B489,[1]lantai9!$B:$G,6,FALSE)</f>
        <v>5500</v>
      </c>
      <c r="E489" s="57">
        <f>VLOOKUP(B489,karyawan!B:D,3,FALSE)</f>
        <v>4500</v>
      </c>
      <c r="F489" s="57" t="str">
        <f>VLOOKUP(B489,karyawan!B:E,4,FALSE)</f>
        <v>Compliance</v>
      </c>
      <c r="G489" s="42">
        <v>8</v>
      </c>
      <c r="H489" s="66">
        <f t="shared" si="33"/>
        <v>0</v>
      </c>
      <c r="I489" s="32">
        <f t="shared" si="34"/>
        <v>8</v>
      </c>
      <c r="J489" s="72">
        <v>0</v>
      </c>
      <c r="K489" s="41">
        <v>0</v>
      </c>
      <c r="L489" s="76">
        <v>14</v>
      </c>
      <c r="M489" s="32">
        <v>8</v>
      </c>
      <c r="N489" s="41">
        <f t="shared" si="31"/>
        <v>0</v>
      </c>
      <c r="O489" s="67">
        <f t="shared" si="32"/>
        <v>0</v>
      </c>
    </row>
    <row r="490" spans="1:15" ht="15" customHeight="1" x14ac:dyDescent="0.3">
      <c r="A490" s="55">
        <v>46157</v>
      </c>
      <c r="B490" s="56" t="s">
        <v>25</v>
      </c>
      <c r="C490" s="41">
        <v>8</v>
      </c>
      <c r="D490" s="57">
        <f>VLOOKUP(B490,[1]lantai9!$B:$G,6,FALSE)</f>
        <v>9000</v>
      </c>
      <c r="E490" s="57">
        <f>VLOOKUP(B490,karyawan!B:D,3,FALSE)</f>
        <v>8000</v>
      </c>
      <c r="F490" s="57" t="str">
        <f>VLOOKUP(B490,karyawan!B:E,4,FALSE)</f>
        <v>Compliance</v>
      </c>
      <c r="G490" s="42">
        <v>3</v>
      </c>
      <c r="H490" s="66">
        <f t="shared" si="33"/>
        <v>0</v>
      </c>
      <c r="I490" s="32">
        <f t="shared" si="34"/>
        <v>0</v>
      </c>
      <c r="J490" s="72">
        <v>0</v>
      </c>
      <c r="K490" s="41">
        <v>0</v>
      </c>
      <c r="L490" s="76">
        <v>3</v>
      </c>
      <c r="M490" s="32">
        <v>0</v>
      </c>
      <c r="N490" s="41">
        <f t="shared" si="31"/>
        <v>0</v>
      </c>
      <c r="O490" s="67">
        <f t="shared" si="32"/>
        <v>0</v>
      </c>
    </row>
    <row r="491" spans="1:15" ht="15" customHeight="1" x14ac:dyDescent="0.3">
      <c r="A491" s="55">
        <v>46157</v>
      </c>
      <c r="B491" s="58" t="s">
        <v>4</v>
      </c>
      <c r="C491" s="41">
        <v>9</v>
      </c>
      <c r="D491" s="57">
        <f>VLOOKUP(B491,[1]lantai9!$B:$G,6,FALSE)</f>
        <v>35000</v>
      </c>
      <c r="E491" s="57">
        <f>VLOOKUP(B491,karyawan!B:D,3,FALSE)</f>
        <v>34000</v>
      </c>
      <c r="F491" s="57" t="str">
        <f>VLOOKUP(B491,karyawan!B:E,4,FALSE)</f>
        <v>Florida</v>
      </c>
      <c r="G491" s="42">
        <v>5</v>
      </c>
      <c r="H491" s="66">
        <f t="shared" si="33"/>
        <v>-6</v>
      </c>
      <c r="I491" s="32">
        <f t="shared" si="34"/>
        <v>3</v>
      </c>
      <c r="J491" s="73">
        <v>4</v>
      </c>
      <c r="K491" s="41">
        <v>0</v>
      </c>
      <c r="L491" s="76">
        <v>1</v>
      </c>
      <c r="M491" s="32">
        <v>1</v>
      </c>
      <c r="N491" s="41">
        <f t="shared" si="31"/>
        <v>2</v>
      </c>
      <c r="O491" s="67">
        <f t="shared" si="32"/>
        <v>70000</v>
      </c>
    </row>
    <row r="492" spans="1:15" ht="15" customHeight="1" x14ac:dyDescent="0.3">
      <c r="A492" s="55">
        <v>46157</v>
      </c>
      <c r="B492" s="58" t="s">
        <v>13</v>
      </c>
      <c r="C492" s="41">
        <v>9</v>
      </c>
      <c r="D492" s="57">
        <f>VLOOKUP(B492,[1]lantai9!$B:$G,6,FALSE)</f>
        <v>23000</v>
      </c>
      <c r="E492" s="57">
        <f>VLOOKUP(B492,karyawan!B:D,3,FALSE)</f>
        <v>22000</v>
      </c>
      <c r="F492" s="57" t="str">
        <f>VLOOKUP(B492,karyawan!B:E,4,FALSE)</f>
        <v>Yohannes</v>
      </c>
      <c r="G492" s="42">
        <v>6</v>
      </c>
      <c r="H492" s="66">
        <f t="shared" si="33"/>
        <v>-5</v>
      </c>
      <c r="I492" s="32">
        <f t="shared" si="34"/>
        <v>6</v>
      </c>
      <c r="J492" s="73">
        <v>3</v>
      </c>
      <c r="K492" s="41">
        <v>0</v>
      </c>
      <c r="L492" s="76">
        <v>4</v>
      </c>
      <c r="M492" s="32">
        <v>4</v>
      </c>
      <c r="N492" s="41">
        <f t="shared" si="31"/>
        <v>2</v>
      </c>
      <c r="O492" s="67">
        <f t="shared" si="32"/>
        <v>46000</v>
      </c>
    </row>
    <row r="493" spans="1:15" ht="15" customHeight="1" x14ac:dyDescent="0.3">
      <c r="A493" s="55">
        <v>46157</v>
      </c>
      <c r="B493" s="58" t="s">
        <v>12</v>
      </c>
      <c r="C493" s="41">
        <v>9</v>
      </c>
      <c r="D493" s="57">
        <f>VLOOKUP(B493,[1]lantai9!$B:$G,6,FALSE)</f>
        <v>21000</v>
      </c>
      <c r="E493" s="57">
        <f>VLOOKUP(B493,karyawan!B:D,3,FALSE)</f>
        <v>20000</v>
      </c>
      <c r="F493" s="57" t="str">
        <f>VLOOKUP(B493,karyawan!B:E,4,FALSE)</f>
        <v>Damaz</v>
      </c>
      <c r="G493" s="42">
        <v>2</v>
      </c>
      <c r="H493" s="66">
        <f t="shared" si="33"/>
        <v>0</v>
      </c>
      <c r="I493" s="32">
        <f t="shared" si="34"/>
        <v>0</v>
      </c>
      <c r="J493" s="74">
        <v>0</v>
      </c>
      <c r="K493" s="41">
        <v>0</v>
      </c>
      <c r="L493" s="76">
        <v>0</v>
      </c>
      <c r="M493" s="32">
        <v>0</v>
      </c>
      <c r="N493" s="41">
        <f t="shared" si="31"/>
        <v>0</v>
      </c>
      <c r="O493" s="67">
        <f t="shared" si="32"/>
        <v>0</v>
      </c>
    </row>
    <row r="494" spans="1:15" ht="15" customHeight="1" x14ac:dyDescent="0.3">
      <c r="A494" s="55">
        <v>46157</v>
      </c>
      <c r="B494" s="58" t="s">
        <v>11</v>
      </c>
      <c r="C494" s="41">
        <v>9</v>
      </c>
      <c r="D494" s="57">
        <f>VLOOKUP(B494,[1]lantai9!$B:$G,6,FALSE)</f>
        <v>36000</v>
      </c>
      <c r="E494" s="57">
        <f>VLOOKUP(B494,karyawan!B:D,3,FALSE)</f>
        <v>35000</v>
      </c>
      <c r="F494" s="57" t="str">
        <f>VLOOKUP(B494,karyawan!B:E,4,FALSE)</f>
        <v>Damaz</v>
      </c>
      <c r="G494" s="42">
        <v>3</v>
      </c>
      <c r="H494" s="66">
        <f t="shared" si="33"/>
        <v>0</v>
      </c>
      <c r="I494" s="32">
        <f t="shared" si="34"/>
        <v>0</v>
      </c>
      <c r="J494" s="74">
        <v>0</v>
      </c>
      <c r="K494" s="41">
        <v>0</v>
      </c>
      <c r="L494" s="76">
        <v>0</v>
      </c>
      <c r="M494" s="32">
        <v>0</v>
      </c>
      <c r="N494" s="41">
        <f t="shared" si="31"/>
        <v>0</v>
      </c>
      <c r="O494" s="67">
        <f t="shared" si="32"/>
        <v>0</v>
      </c>
    </row>
    <row r="495" spans="1:15" ht="15" customHeight="1" x14ac:dyDescent="0.3">
      <c r="A495" s="55">
        <v>46157</v>
      </c>
      <c r="B495" s="58" t="s">
        <v>14</v>
      </c>
      <c r="C495" s="41">
        <v>9</v>
      </c>
      <c r="D495" s="57">
        <f>VLOOKUP(B495,[1]lantai9!$B:$G,6,FALSE)</f>
        <v>23000</v>
      </c>
      <c r="E495" s="57">
        <f>VLOOKUP(B495,karyawan!B:D,3,FALSE)</f>
        <v>22000</v>
      </c>
      <c r="F495" s="57" t="str">
        <f>VLOOKUP(B495,karyawan!B:E,4,FALSE)</f>
        <v>Vale</v>
      </c>
      <c r="G495" s="42">
        <v>5</v>
      </c>
      <c r="H495" s="66">
        <f t="shared" si="33"/>
        <v>0</v>
      </c>
      <c r="I495" s="32">
        <f t="shared" si="34"/>
        <v>2</v>
      </c>
      <c r="J495" s="73">
        <v>0</v>
      </c>
      <c r="K495" s="41">
        <v>0</v>
      </c>
      <c r="L495" s="76">
        <v>-1</v>
      </c>
      <c r="M495" s="32">
        <v>0</v>
      </c>
      <c r="N495" s="41">
        <f t="shared" si="31"/>
        <v>2</v>
      </c>
      <c r="O495" s="67">
        <f t="shared" si="32"/>
        <v>46000</v>
      </c>
    </row>
    <row r="496" spans="1:15" ht="15" customHeight="1" x14ac:dyDescent="0.3">
      <c r="A496" s="55">
        <v>46157</v>
      </c>
      <c r="B496" s="58" t="s">
        <v>7</v>
      </c>
      <c r="C496" s="41">
        <v>9</v>
      </c>
      <c r="D496" s="57">
        <f>VLOOKUP(B496,[1]lantai9!$B:$G,6,FALSE)</f>
        <v>15000</v>
      </c>
      <c r="E496" s="57">
        <f>VLOOKUP(B496,karyawan!B:D,3,FALSE)</f>
        <v>14000</v>
      </c>
      <c r="F496" s="57" t="str">
        <f>VLOOKUP(B496,karyawan!B:E,4,FALSE)</f>
        <v>Desy</v>
      </c>
      <c r="G496" s="42">
        <v>6</v>
      </c>
      <c r="H496" s="66">
        <f t="shared" si="33"/>
        <v>0</v>
      </c>
      <c r="I496" s="32">
        <f t="shared" si="34"/>
        <v>2</v>
      </c>
      <c r="J496" s="73">
        <v>4</v>
      </c>
      <c r="K496" s="41">
        <v>0</v>
      </c>
      <c r="L496" s="76">
        <v>-1</v>
      </c>
      <c r="M496" s="32">
        <v>0</v>
      </c>
      <c r="N496" s="41">
        <f t="shared" si="31"/>
        <v>2</v>
      </c>
      <c r="O496" s="67">
        <f t="shared" si="32"/>
        <v>30000</v>
      </c>
    </row>
    <row r="497" spans="1:15" ht="15" customHeight="1" x14ac:dyDescent="0.3">
      <c r="A497" s="55">
        <v>46157</v>
      </c>
      <c r="B497" s="58" t="s">
        <v>8</v>
      </c>
      <c r="C497" s="41">
        <v>9</v>
      </c>
      <c r="D497" s="57">
        <f>VLOOKUP(B497,[1]lantai9!$B:$G,6,FALSE)</f>
        <v>18000</v>
      </c>
      <c r="E497" s="57">
        <f>VLOOKUP(B497,karyawan!B:D,3,FALSE)</f>
        <v>17000</v>
      </c>
      <c r="F497" s="57" t="str">
        <f>VLOOKUP(B497,karyawan!B:E,4,FALSE)</f>
        <v>Geby</v>
      </c>
      <c r="G497" s="42">
        <v>4</v>
      </c>
      <c r="H497" s="66">
        <f t="shared" si="33"/>
        <v>0</v>
      </c>
      <c r="I497" s="32">
        <f t="shared" si="34"/>
        <v>0</v>
      </c>
      <c r="J497" s="74">
        <v>0</v>
      </c>
      <c r="K497" s="41">
        <v>0</v>
      </c>
      <c r="L497" s="76">
        <v>-1</v>
      </c>
      <c r="M497" s="32">
        <v>0</v>
      </c>
      <c r="N497" s="41">
        <f t="shared" si="31"/>
        <v>0</v>
      </c>
      <c r="O497" s="67">
        <f t="shared" si="32"/>
        <v>0</v>
      </c>
    </row>
    <row r="498" spans="1:15" ht="15" customHeight="1" x14ac:dyDescent="0.3">
      <c r="A498" s="55">
        <v>46157</v>
      </c>
      <c r="B498" s="58" t="s">
        <v>9</v>
      </c>
      <c r="C498" s="41">
        <v>9</v>
      </c>
      <c r="D498" s="57">
        <f>VLOOKUP(B498,[1]lantai9!$B:$G,6,FALSE)</f>
        <v>21000</v>
      </c>
      <c r="E498" s="57">
        <f>VLOOKUP(B498,karyawan!B:D,3,FALSE)</f>
        <v>20000</v>
      </c>
      <c r="F498" s="57" t="str">
        <f>VLOOKUP(B498,karyawan!B:E,4,FALSE)</f>
        <v>Geby</v>
      </c>
      <c r="G498" s="42">
        <v>3</v>
      </c>
      <c r="H498" s="66">
        <f t="shared" si="33"/>
        <v>-3</v>
      </c>
      <c r="I498" s="32">
        <f t="shared" si="34"/>
        <v>2</v>
      </c>
      <c r="J498" s="73">
        <v>2</v>
      </c>
      <c r="K498" s="41">
        <v>0</v>
      </c>
      <c r="L498" s="76">
        <v>1</v>
      </c>
      <c r="M498" s="32">
        <v>2</v>
      </c>
      <c r="N498" s="41">
        <f t="shared" si="31"/>
        <v>0</v>
      </c>
      <c r="O498" s="67">
        <f t="shared" si="32"/>
        <v>0</v>
      </c>
    </row>
    <row r="499" spans="1:15" ht="15" customHeight="1" x14ac:dyDescent="0.3">
      <c r="A499" s="55">
        <v>46157</v>
      </c>
      <c r="B499" s="58" t="s">
        <v>20</v>
      </c>
      <c r="C499" s="41">
        <v>9</v>
      </c>
      <c r="D499" s="57">
        <f>VLOOKUP(B499,[1]lantai9!$B:$G,6,FALSE)</f>
        <v>35000</v>
      </c>
      <c r="E499" s="57">
        <f>VLOOKUP(B499,karyawan!B:D,3,FALSE)</f>
        <v>34000</v>
      </c>
      <c r="F499" s="57" t="str">
        <f>VLOOKUP(B499,karyawan!B:E,4,FALSE)</f>
        <v>Sherly</v>
      </c>
      <c r="G499" s="42">
        <v>2</v>
      </c>
      <c r="H499" s="66">
        <f t="shared" si="33"/>
        <v>0</v>
      </c>
      <c r="I499" s="32">
        <f t="shared" si="34"/>
        <v>2</v>
      </c>
      <c r="J499" s="73">
        <v>1</v>
      </c>
      <c r="K499" s="41">
        <v>0</v>
      </c>
      <c r="L499" s="76">
        <v>0</v>
      </c>
      <c r="M499" s="32">
        <v>1</v>
      </c>
      <c r="N499" s="41">
        <f t="shared" si="31"/>
        <v>1</v>
      </c>
      <c r="O499" s="67">
        <f t="shared" si="32"/>
        <v>35000</v>
      </c>
    </row>
    <row r="500" spans="1:15" ht="15" customHeight="1" x14ac:dyDescent="0.3">
      <c r="A500" s="55">
        <v>46157</v>
      </c>
      <c r="B500" s="58" t="s">
        <v>21</v>
      </c>
      <c r="C500" s="41">
        <v>9</v>
      </c>
      <c r="D500" s="57">
        <f>VLOOKUP(B500,[1]lantai9!$B:$G,6,FALSE)</f>
        <v>40000</v>
      </c>
      <c r="E500" s="57">
        <f>VLOOKUP(B500,karyawan!B:D,3,FALSE)</f>
        <v>39000</v>
      </c>
      <c r="F500" s="57" t="str">
        <f>VLOOKUP(B500,karyawan!B:E,4,FALSE)</f>
        <v>Sherly</v>
      </c>
      <c r="G500" s="42">
        <v>4</v>
      </c>
      <c r="H500" s="66">
        <f t="shared" si="33"/>
        <v>-1</v>
      </c>
      <c r="I500" s="32">
        <f t="shared" si="34"/>
        <v>4</v>
      </c>
      <c r="J500" s="73">
        <v>2</v>
      </c>
      <c r="K500" s="41">
        <v>0</v>
      </c>
      <c r="L500" s="76">
        <v>2</v>
      </c>
      <c r="M500" s="32">
        <v>2</v>
      </c>
      <c r="N500" s="41">
        <f t="shared" si="31"/>
        <v>2</v>
      </c>
      <c r="O500" s="67">
        <f t="shared" si="32"/>
        <v>80000</v>
      </c>
    </row>
    <row r="501" spans="1:15" ht="15" customHeight="1" x14ac:dyDescent="0.3">
      <c r="A501" s="55">
        <v>46157</v>
      </c>
      <c r="B501" s="58" t="s">
        <v>19</v>
      </c>
      <c r="C501" s="41">
        <v>9</v>
      </c>
      <c r="D501" s="57">
        <f>VLOOKUP(B501,[1]lantai9!$B:$G,6,FALSE)</f>
        <v>2500</v>
      </c>
      <c r="E501" s="57">
        <f>VLOOKUP(B501,karyawan!B:D,3,FALSE)</f>
        <v>1480</v>
      </c>
      <c r="F501" s="57" t="str">
        <f>VLOOKUP(B501,karyawan!B:E,4,FALSE)</f>
        <v>Compliance</v>
      </c>
      <c r="G501" s="42">
        <v>12</v>
      </c>
      <c r="H501" s="66">
        <f t="shared" si="33"/>
        <v>0</v>
      </c>
      <c r="I501" s="32">
        <f t="shared" si="34"/>
        <v>1</v>
      </c>
      <c r="J501" s="74">
        <v>0</v>
      </c>
      <c r="K501" s="41">
        <v>0</v>
      </c>
      <c r="L501" s="76">
        <v>1</v>
      </c>
      <c r="M501" s="32">
        <v>1</v>
      </c>
      <c r="N501" s="41">
        <f t="shared" si="31"/>
        <v>0</v>
      </c>
      <c r="O501" s="67">
        <f t="shared" si="32"/>
        <v>0</v>
      </c>
    </row>
    <row r="502" spans="1:15" ht="15" customHeight="1" x14ac:dyDescent="0.3">
      <c r="A502" s="55">
        <v>46157</v>
      </c>
      <c r="B502" s="58" t="s">
        <v>17</v>
      </c>
      <c r="C502" s="41">
        <v>9</v>
      </c>
      <c r="D502" s="57">
        <f>VLOOKUP(B502,[1]lantai9!$B:$G,6,FALSE)</f>
        <v>2000</v>
      </c>
      <c r="E502" s="57">
        <f>VLOOKUP(B502,karyawan!B:D,3,FALSE)</f>
        <v>1074</v>
      </c>
      <c r="F502" s="57" t="str">
        <f>VLOOKUP(B502,karyawan!B:E,4,FALSE)</f>
        <v>Compliance</v>
      </c>
      <c r="G502" s="42">
        <v>10</v>
      </c>
      <c r="H502" s="66">
        <f t="shared" si="33"/>
        <v>-8</v>
      </c>
      <c r="I502" s="32">
        <f t="shared" si="34"/>
        <v>10</v>
      </c>
      <c r="J502" s="73">
        <v>10</v>
      </c>
      <c r="K502" s="41">
        <v>0</v>
      </c>
      <c r="L502" s="76">
        <v>15</v>
      </c>
      <c r="M502" s="32">
        <v>0</v>
      </c>
      <c r="N502" s="41">
        <f t="shared" si="31"/>
        <v>10</v>
      </c>
      <c r="O502" s="67">
        <f t="shared" si="32"/>
        <v>20000</v>
      </c>
    </row>
    <row r="503" spans="1:15" ht="15" customHeight="1" x14ac:dyDescent="0.3">
      <c r="A503" s="55">
        <v>46157</v>
      </c>
      <c r="B503" s="58" t="s">
        <v>5</v>
      </c>
      <c r="C503" s="41">
        <v>9</v>
      </c>
      <c r="D503" s="57">
        <f>VLOOKUP(B503,[1]lantai9!$B:$G,6,FALSE)</f>
        <v>2500</v>
      </c>
      <c r="E503" s="57">
        <f>VLOOKUP(B503,karyawan!B:D,3,FALSE)</f>
        <v>1465</v>
      </c>
      <c r="F503" s="57" t="str">
        <f>VLOOKUP(B503,karyawan!B:E,4,FALSE)</f>
        <v>Compliance</v>
      </c>
      <c r="G503" s="42">
        <v>10</v>
      </c>
      <c r="H503" s="66">
        <f t="shared" si="33"/>
        <v>-6</v>
      </c>
      <c r="I503" s="32">
        <f t="shared" si="34"/>
        <v>10</v>
      </c>
      <c r="J503" s="73">
        <v>9</v>
      </c>
      <c r="K503" s="41">
        <v>0</v>
      </c>
      <c r="L503" s="76">
        <v>5</v>
      </c>
      <c r="M503" s="32">
        <v>4</v>
      </c>
      <c r="N503" s="41">
        <f t="shared" si="31"/>
        <v>6</v>
      </c>
      <c r="O503" s="67">
        <f t="shared" si="32"/>
        <v>15000</v>
      </c>
    </row>
    <row r="504" spans="1:15" ht="15" customHeight="1" x14ac:dyDescent="0.3">
      <c r="A504" s="55">
        <v>46157</v>
      </c>
      <c r="B504" s="58" t="s">
        <v>3</v>
      </c>
      <c r="C504" s="41">
        <v>9</v>
      </c>
      <c r="D504" s="57">
        <f>VLOOKUP(B504,[1]lantai9!$B:$G,6,FALSE)</f>
        <v>10000</v>
      </c>
      <c r="E504" s="57">
        <f>VLOOKUP(B504,karyawan!B:D,3,FALSE)</f>
        <v>9200</v>
      </c>
      <c r="F504" s="57" t="str">
        <f>VLOOKUP(B504,karyawan!B:E,4,FALSE)</f>
        <v>Compliance</v>
      </c>
      <c r="G504" s="42">
        <v>15</v>
      </c>
      <c r="H504" s="66">
        <f t="shared" si="33"/>
        <v>-5</v>
      </c>
      <c r="I504" s="32">
        <f t="shared" si="34"/>
        <v>15</v>
      </c>
      <c r="J504" s="73">
        <v>0</v>
      </c>
      <c r="K504" s="41">
        <v>0</v>
      </c>
      <c r="L504" s="76">
        <v>13</v>
      </c>
      <c r="M504" s="32">
        <v>13</v>
      </c>
      <c r="N504" s="41">
        <f t="shared" si="31"/>
        <v>2</v>
      </c>
      <c r="O504" s="67">
        <f t="shared" si="32"/>
        <v>20000</v>
      </c>
    </row>
    <row r="505" spans="1:15" ht="15" customHeight="1" x14ac:dyDescent="0.3">
      <c r="A505" s="55">
        <v>46157</v>
      </c>
      <c r="B505" s="58" t="s">
        <v>18</v>
      </c>
      <c r="C505" s="41">
        <v>9</v>
      </c>
      <c r="D505" s="57">
        <f>VLOOKUP(B505,[1]lantai9!$B:$G,6,FALSE)</f>
        <v>15000</v>
      </c>
      <c r="E505" s="57">
        <f>VLOOKUP(B505,karyawan!B:D,3,FALSE)</f>
        <v>13807</v>
      </c>
      <c r="F505" s="57" t="str">
        <f>VLOOKUP(B505,karyawan!B:E,4,FALSE)</f>
        <v>Compliance</v>
      </c>
      <c r="G505" s="42">
        <v>10</v>
      </c>
      <c r="H505" s="66">
        <f t="shared" si="33"/>
        <v>0</v>
      </c>
      <c r="I505" s="32">
        <f t="shared" si="34"/>
        <v>10</v>
      </c>
      <c r="J505" s="74">
        <v>0</v>
      </c>
      <c r="K505" s="41">
        <v>0</v>
      </c>
      <c r="L505" s="76">
        <v>6</v>
      </c>
      <c r="M505" s="32">
        <v>0</v>
      </c>
      <c r="N505" s="41">
        <f t="shared" si="31"/>
        <v>10</v>
      </c>
      <c r="O505" s="67">
        <f t="shared" si="32"/>
        <v>150000</v>
      </c>
    </row>
    <row r="506" spans="1:15" ht="15" customHeight="1" x14ac:dyDescent="0.3">
      <c r="A506" s="55">
        <v>46157</v>
      </c>
      <c r="B506" s="58" t="s">
        <v>10</v>
      </c>
      <c r="C506" s="41">
        <v>9</v>
      </c>
      <c r="D506" s="57">
        <f>VLOOKUP(B506,[1]lantai9!$B:$G,6,FALSE)</f>
        <v>23000</v>
      </c>
      <c r="E506" s="57">
        <f>VLOOKUP(B506,karyawan!B:D,3,FALSE)</f>
        <v>21760</v>
      </c>
      <c r="F506" s="57" t="str">
        <f>VLOOKUP(B506,karyawan!B:E,4,FALSE)</f>
        <v>Compliance</v>
      </c>
      <c r="G506" s="42">
        <v>7</v>
      </c>
      <c r="H506" s="66">
        <f t="shared" si="33"/>
        <v>0</v>
      </c>
      <c r="I506" s="32">
        <f t="shared" si="34"/>
        <v>0</v>
      </c>
      <c r="J506" s="74">
        <v>0</v>
      </c>
      <c r="K506" s="41">
        <v>0</v>
      </c>
      <c r="L506" s="76">
        <v>0</v>
      </c>
      <c r="M506" s="32">
        <v>0</v>
      </c>
      <c r="N506" s="41">
        <f t="shared" si="31"/>
        <v>0</v>
      </c>
      <c r="O506" s="67">
        <f t="shared" si="32"/>
        <v>0</v>
      </c>
    </row>
    <row r="507" spans="1:15" ht="15" customHeight="1" x14ac:dyDescent="0.3">
      <c r="A507" s="55">
        <v>46157</v>
      </c>
      <c r="B507" s="56" t="s">
        <v>23</v>
      </c>
      <c r="C507" s="41">
        <v>9</v>
      </c>
      <c r="D507" s="57">
        <f>VLOOKUP(B507,[1]lantai9!$B:$G,6,FALSE)</f>
        <v>11000</v>
      </c>
      <c r="E507" s="57">
        <f>VLOOKUP(B507,karyawan!B:D,3,FALSE)</f>
        <v>10000</v>
      </c>
      <c r="F507" s="57" t="str">
        <f>VLOOKUP(B507,karyawan!B:E,4,FALSE)</f>
        <v>Compliance</v>
      </c>
      <c r="G507" s="42">
        <v>8</v>
      </c>
      <c r="H507" s="66">
        <f t="shared" si="33"/>
        <v>-4</v>
      </c>
      <c r="I507" s="32">
        <f t="shared" si="34"/>
        <v>7</v>
      </c>
      <c r="J507" s="73">
        <v>0</v>
      </c>
      <c r="K507" s="41">
        <v>0</v>
      </c>
      <c r="L507" s="76">
        <v>5</v>
      </c>
      <c r="M507" s="32">
        <v>2</v>
      </c>
      <c r="N507" s="41">
        <f t="shared" si="31"/>
        <v>5</v>
      </c>
      <c r="O507" s="67">
        <f t="shared" si="32"/>
        <v>55000</v>
      </c>
    </row>
    <row r="508" spans="1:15" ht="15" customHeight="1" x14ac:dyDescent="0.3">
      <c r="A508" s="55">
        <v>46157</v>
      </c>
      <c r="B508" s="56" t="s">
        <v>24</v>
      </c>
      <c r="C508" s="41">
        <v>9</v>
      </c>
      <c r="D508" s="57">
        <f>VLOOKUP(B508,[1]lantai9!$B:$G,6,FALSE)</f>
        <v>14500</v>
      </c>
      <c r="E508" s="57">
        <f>VLOOKUP(B508,karyawan!B:D,3,FALSE)</f>
        <v>13500</v>
      </c>
      <c r="F508" s="57" t="str">
        <f>VLOOKUP(B508,karyawan!B:E,4,FALSE)</f>
        <v>Compliance</v>
      </c>
      <c r="G508" s="42">
        <v>6</v>
      </c>
      <c r="H508" s="66">
        <f t="shared" si="33"/>
        <v>-6</v>
      </c>
      <c r="I508" s="32">
        <f t="shared" si="34"/>
        <v>6</v>
      </c>
      <c r="J508" s="73">
        <v>1</v>
      </c>
      <c r="K508" s="41">
        <v>0</v>
      </c>
      <c r="L508" s="76">
        <v>6</v>
      </c>
      <c r="M508" s="32">
        <v>5</v>
      </c>
      <c r="N508" s="41">
        <f t="shared" si="31"/>
        <v>1</v>
      </c>
      <c r="O508" s="67">
        <f t="shared" si="32"/>
        <v>14500</v>
      </c>
    </row>
    <row r="509" spans="1:15" ht="15" customHeight="1" x14ac:dyDescent="0.3">
      <c r="A509" s="55">
        <v>46157</v>
      </c>
      <c r="B509" s="56" t="s">
        <v>15</v>
      </c>
      <c r="C509" s="41">
        <v>9</v>
      </c>
      <c r="D509" s="57">
        <f>VLOOKUP(B509,[1]lantai9!$B:$G,6,FALSE)</f>
        <v>3500</v>
      </c>
      <c r="E509" s="57">
        <f>VLOOKUP(B509,karyawan!B:D,3,FALSE)</f>
        <v>2500</v>
      </c>
      <c r="F509" s="57" t="str">
        <f>VLOOKUP(B509,karyawan!B:E,4,FALSE)</f>
        <v>Compliance</v>
      </c>
      <c r="G509" s="42">
        <v>20</v>
      </c>
      <c r="H509" s="66">
        <f t="shared" si="33"/>
        <v>0</v>
      </c>
      <c r="I509" s="32">
        <f t="shared" si="34"/>
        <v>14</v>
      </c>
      <c r="J509" s="74">
        <v>0</v>
      </c>
      <c r="K509" s="41">
        <v>0</v>
      </c>
      <c r="L509" s="76">
        <v>10</v>
      </c>
      <c r="M509" s="32">
        <v>10</v>
      </c>
      <c r="N509" s="41">
        <f t="shared" si="31"/>
        <v>4</v>
      </c>
      <c r="O509" s="67">
        <f t="shared" si="32"/>
        <v>14000</v>
      </c>
    </row>
    <row r="510" spans="1:15" ht="15" customHeight="1" x14ac:dyDescent="0.3">
      <c r="A510" s="55">
        <v>46157</v>
      </c>
      <c r="B510" s="56" t="s">
        <v>22</v>
      </c>
      <c r="C510" s="41">
        <v>9</v>
      </c>
      <c r="D510" s="57">
        <f>VLOOKUP(B510,[1]lantai9!$B:$G,6,FALSE)</f>
        <v>5500</v>
      </c>
      <c r="E510" s="57">
        <f>VLOOKUP(B510,karyawan!B:D,3,FALSE)</f>
        <v>4500</v>
      </c>
      <c r="F510" s="57" t="str">
        <f>VLOOKUP(B510,karyawan!B:E,4,FALSE)</f>
        <v>Compliance</v>
      </c>
      <c r="G510" s="42">
        <v>8</v>
      </c>
      <c r="H510" s="66">
        <f t="shared" si="33"/>
        <v>0</v>
      </c>
      <c r="I510" s="32">
        <f t="shared" si="34"/>
        <v>8</v>
      </c>
      <c r="J510" s="73">
        <v>2</v>
      </c>
      <c r="K510" s="41">
        <v>0</v>
      </c>
      <c r="L510" s="76">
        <v>8</v>
      </c>
      <c r="M510" s="32">
        <v>8</v>
      </c>
      <c r="N510" s="41">
        <f t="shared" si="31"/>
        <v>0</v>
      </c>
      <c r="O510" s="67">
        <f t="shared" si="32"/>
        <v>0</v>
      </c>
    </row>
    <row r="511" spans="1:15" ht="15" customHeight="1" x14ac:dyDescent="0.3">
      <c r="A511" s="55">
        <v>46157</v>
      </c>
      <c r="B511" s="56" t="s">
        <v>25</v>
      </c>
      <c r="C511" s="41">
        <v>9</v>
      </c>
      <c r="D511" s="57">
        <f>VLOOKUP(B511,[1]lantai9!$B:$G,6,FALSE)</f>
        <v>9000</v>
      </c>
      <c r="E511" s="57">
        <f>VLOOKUP(B511,karyawan!B:D,3,FALSE)</f>
        <v>8000</v>
      </c>
      <c r="F511" s="57" t="str">
        <f>VLOOKUP(B511,karyawan!B:E,4,FALSE)</f>
        <v>Compliance</v>
      </c>
      <c r="G511" s="42">
        <v>3</v>
      </c>
      <c r="H511" s="66">
        <f t="shared" si="33"/>
        <v>0</v>
      </c>
      <c r="I511" s="32">
        <f t="shared" si="34"/>
        <v>0</v>
      </c>
      <c r="J511" s="74">
        <v>0</v>
      </c>
      <c r="K511" s="41">
        <v>0</v>
      </c>
      <c r="L511" s="76">
        <v>4</v>
      </c>
      <c r="M511" s="32">
        <v>0</v>
      </c>
      <c r="N511" s="41">
        <f t="shared" si="31"/>
        <v>0</v>
      </c>
      <c r="O511" s="67">
        <f t="shared" si="32"/>
        <v>0</v>
      </c>
    </row>
    <row r="512" spans="1:15" ht="15" customHeight="1" x14ac:dyDescent="0.3">
      <c r="A512" s="55">
        <v>46160</v>
      </c>
      <c r="B512" s="58" t="s">
        <v>4</v>
      </c>
      <c r="C512" s="41">
        <v>3</v>
      </c>
      <c r="D512" s="57">
        <f>VLOOKUP(B512,[1]lantai9!$B:$G,6,FALSE)</f>
        <v>35000</v>
      </c>
      <c r="E512" s="57">
        <f>VLOOKUP(B512,karyawan!B:D,3,FALSE)</f>
        <v>34000</v>
      </c>
      <c r="F512" s="57" t="str">
        <f>VLOOKUP(B512,karyawan!B:E,4,FALSE)</f>
        <v>Florida</v>
      </c>
      <c r="G512" s="42">
        <v>5</v>
      </c>
      <c r="H512" s="66">
        <f t="shared" ref="H512:H574" si="35">H491-J491</f>
        <v>-10</v>
      </c>
      <c r="I512" s="32">
        <f t="shared" si="34"/>
        <v>5</v>
      </c>
      <c r="J512" s="69">
        <v>0</v>
      </c>
      <c r="K512" s="41">
        <v>0</v>
      </c>
      <c r="L512" s="68">
        <v>6</v>
      </c>
      <c r="M512" s="77">
        <v>5</v>
      </c>
      <c r="N512" s="41">
        <f t="shared" si="31"/>
        <v>0</v>
      </c>
      <c r="O512" s="67">
        <f t="shared" si="32"/>
        <v>0</v>
      </c>
    </row>
    <row r="513" spans="1:15" ht="15" customHeight="1" x14ac:dyDescent="0.3">
      <c r="A513" s="55">
        <v>46160</v>
      </c>
      <c r="B513" s="58" t="s">
        <v>13</v>
      </c>
      <c r="C513" s="41">
        <v>3</v>
      </c>
      <c r="D513" s="57">
        <f>VLOOKUP(B513,[1]lantai9!$B:$G,6,FALSE)</f>
        <v>23000</v>
      </c>
      <c r="E513" s="57">
        <f>VLOOKUP(B513,karyawan!B:D,3,FALSE)</f>
        <v>22000</v>
      </c>
      <c r="F513" s="57" t="str">
        <f>VLOOKUP(B513,karyawan!B:E,4,FALSE)</f>
        <v>Yohannes</v>
      </c>
      <c r="G513" s="42">
        <v>6</v>
      </c>
      <c r="H513" s="66">
        <f t="shared" si="35"/>
        <v>-8</v>
      </c>
      <c r="I513" s="32">
        <f t="shared" si="34"/>
        <v>6</v>
      </c>
      <c r="J513" s="69">
        <v>0</v>
      </c>
      <c r="K513" s="41">
        <v>0</v>
      </c>
      <c r="L513" s="68">
        <v>13</v>
      </c>
      <c r="M513" s="78">
        <v>4</v>
      </c>
      <c r="N513" s="41">
        <f t="shared" si="31"/>
        <v>2</v>
      </c>
      <c r="O513" s="67">
        <f t="shared" si="32"/>
        <v>46000</v>
      </c>
    </row>
    <row r="514" spans="1:15" ht="15" customHeight="1" x14ac:dyDescent="0.3">
      <c r="A514" s="55">
        <v>46160</v>
      </c>
      <c r="B514" s="58" t="s">
        <v>12</v>
      </c>
      <c r="C514" s="41">
        <v>3</v>
      </c>
      <c r="D514" s="57">
        <f>VLOOKUP(B514,[1]lantai9!$B:$G,6,FALSE)</f>
        <v>21000</v>
      </c>
      <c r="E514" s="57">
        <f>VLOOKUP(B514,karyawan!B:D,3,FALSE)</f>
        <v>20000</v>
      </c>
      <c r="F514" s="57" t="str">
        <f>VLOOKUP(B514,karyawan!B:E,4,FALSE)</f>
        <v>Damaz</v>
      </c>
      <c r="G514" s="42">
        <v>2</v>
      </c>
      <c r="H514" s="66">
        <f t="shared" si="35"/>
        <v>0</v>
      </c>
      <c r="I514" s="32">
        <f t="shared" ref="I514:I545" si="36">J451+M451+K514</f>
        <v>1</v>
      </c>
      <c r="J514" s="69">
        <v>0</v>
      </c>
      <c r="K514" s="41">
        <v>0</v>
      </c>
      <c r="L514" s="68">
        <v>-1</v>
      </c>
      <c r="M514" s="78">
        <v>1</v>
      </c>
      <c r="N514" s="41">
        <f t="shared" ref="N514:N577" si="37">MAX($I514-$M514,0)</f>
        <v>0</v>
      </c>
      <c r="O514" s="67">
        <f t="shared" ref="O514:O577" si="38">N514*D514</f>
        <v>0</v>
      </c>
    </row>
    <row r="515" spans="1:15" ht="15" customHeight="1" x14ac:dyDescent="0.3">
      <c r="A515" s="55">
        <v>46160</v>
      </c>
      <c r="B515" s="58" t="s">
        <v>11</v>
      </c>
      <c r="C515" s="41">
        <v>3</v>
      </c>
      <c r="D515" s="57">
        <f>VLOOKUP(B515,[1]lantai9!$B:$G,6,FALSE)</f>
        <v>36000</v>
      </c>
      <c r="E515" s="57">
        <f>VLOOKUP(B515,karyawan!B:D,3,FALSE)</f>
        <v>35000</v>
      </c>
      <c r="F515" s="57" t="str">
        <f>VLOOKUP(B515,karyawan!B:E,4,FALSE)</f>
        <v>Damaz</v>
      </c>
      <c r="G515" s="42">
        <v>3</v>
      </c>
      <c r="H515" s="66">
        <f t="shared" si="35"/>
        <v>0</v>
      </c>
      <c r="I515" s="32">
        <f t="shared" si="36"/>
        <v>2</v>
      </c>
      <c r="J515" s="69">
        <v>0</v>
      </c>
      <c r="K515" s="41">
        <v>0</v>
      </c>
      <c r="L515" s="68">
        <v>2</v>
      </c>
      <c r="M515" s="78">
        <v>2</v>
      </c>
      <c r="N515" s="41">
        <f t="shared" si="37"/>
        <v>0</v>
      </c>
      <c r="O515" s="67">
        <f t="shared" si="38"/>
        <v>0</v>
      </c>
    </row>
    <row r="516" spans="1:15" ht="15" customHeight="1" x14ac:dyDescent="0.3">
      <c r="A516" s="55">
        <v>46160</v>
      </c>
      <c r="B516" s="58" t="s">
        <v>14</v>
      </c>
      <c r="C516" s="41">
        <v>3</v>
      </c>
      <c r="D516" s="57">
        <f>VLOOKUP(B516,[1]lantai9!$B:$G,6,FALSE)</f>
        <v>23000</v>
      </c>
      <c r="E516" s="57">
        <f>VLOOKUP(B516,karyawan!B:D,3,FALSE)</f>
        <v>22000</v>
      </c>
      <c r="F516" s="57" t="str">
        <f>VLOOKUP(B516,karyawan!B:E,4,FALSE)</f>
        <v>Vale</v>
      </c>
      <c r="G516" s="42">
        <v>5</v>
      </c>
      <c r="H516" s="66">
        <f t="shared" si="35"/>
        <v>0</v>
      </c>
      <c r="I516" s="32">
        <f t="shared" si="36"/>
        <v>2</v>
      </c>
      <c r="J516" s="69">
        <v>0</v>
      </c>
      <c r="K516" s="41">
        <v>0</v>
      </c>
      <c r="L516" s="68">
        <v>3</v>
      </c>
      <c r="M516" s="79">
        <v>1</v>
      </c>
      <c r="N516" s="41">
        <f t="shared" si="37"/>
        <v>1</v>
      </c>
      <c r="O516" s="67">
        <f t="shared" si="38"/>
        <v>23000</v>
      </c>
    </row>
    <row r="517" spans="1:15" ht="15" customHeight="1" x14ac:dyDescent="0.3">
      <c r="A517" s="55">
        <v>46160</v>
      </c>
      <c r="B517" s="58" t="s">
        <v>7</v>
      </c>
      <c r="C517" s="41">
        <v>3</v>
      </c>
      <c r="D517" s="57">
        <f>VLOOKUP(B517,[1]lantai9!$B:$G,6,FALSE)</f>
        <v>15000</v>
      </c>
      <c r="E517" s="57">
        <f>VLOOKUP(B517,karyawan!B:D,3,FALSE)</f>
        <v>14000</v>
      </c>
      <c r="F517" s="57" t="str">
        <f>VLOOKUP(B517,karyawan!B:E,4,FALSE)</f>
        <v>Desy</v>
      </c>
      <c r="G517" s="42">
        <v>6</v>
      </c>
      <c r="H517" s="66">
        <f t="shared" si="35"/>
        <v>-4</v>
      </c>
      <c r="I517" s="32">
        <f t="shared" si="36"/>
        <v>0</v>
      </c>
      <c r="J517" s="69">
        <v>4</v>
      </c>
      <c r="K517" s="41">
        <v>0</v>
      </c>
      <c r="L517" s="68">
        <v>1</v>
      </c>
      <c r="M517" s="78">
        <v>0</v>
      </c>
      <c r="N517" s="41">
        <f t="shared" si="37"/>
        <v>0</v>
      </c>
      <c r="O517" s="67">
        <f t="shared" si="38"/>
        <v>0</v>
      </c>
    </row>
    <row r="518" spans="1:15" ht="15" customHeight="1" x14ac:dyDescent="0.3">
      <c r="A518" s="55">
        <v>46160</v>
      </c>
      <c r="B518" s="58" t="s">
        <v>8</v>
      </c>
      <c r="C518" s="41">
        <v>3</v>
      </c>
      <c r="D518" s="57">
        <f>VLOOKUP(B518,[1]lantai9!$B:$G,6,FALSE)</f>
        <v>18000</v>
      </c>
      <c r="E518" s="57">
        <f>VLOOKUP(B518,karyawan!B:D,3,FALSE)</f>
        <v>17000</v>
      </c>
      <c r="F518" s="57" t="str">
        <f>VLOOKUP(B518,karyawan!B:E,4,FALSE)</f>
        <v>Geby</v>
      </c>
      <c r="G518" s="42">
        <v>4</v>
      </c>
      <c r="H518" s="66">
        <f t="shared" si="35"/>
        <v>0</v>
      </c>
      <c r="I518" s="32">
        <f t="shared" si="36"/>
        <v>1</v>
      </c>
      <c r="J518" s="69">
        <v>0</v>
      </c>
      <c r="K518" s="41">
        <v>0</v>
      </c>
      <c r="L518" s="68">
        <v>0</v>
      </c>
      <c r="M518" s="79">
        <v>4</v>
      </c>
      <c r="N518" s="41">
        <f t="shared" si="37"/>
        <v>0</v>
      </c>
      <c r="O518" s="67">
        <f t="shared" si="38"/>
        <v>0</v>
      </c>
    </row>
    <row r="519" spans="1:15" ht="15" customHeight="1" x14ac:dyDescent="0.3">
      <c r="A519" s="55">
        <v>46160</v>
      </c>
      <c r="B519" s="58" t="s">
        <v>9</v>
      </c>
      <c r="C519" s="41">
        <v>3</v>
      </c>
      <c r="D519" s="57">
        <f>VLOOKUP(B519,[1]lantai9!$B:$G,6,FALSE)</f>
        <v>21000</v>
      </c>
      <c r="E519" s="57">
        <f>VLOOKUP(B519,karyawan!B:D,3,FALSE)</f>
        <v>20000</v>
      </c>
      <c r="F519" s="57" t="str">
        <f>VLOOKUP(B519,karyawan!B:E,4,FALSE)</f>
        <v>Geby</v>
      </c>
      <c r="G519" s="42">
        <v>3</v>
      </c>
      <c r="H519" s="66">
        <f t="shared" si="35"/>
        <v>-5</v>
      </c>
      <c r="I519" s="32">
        <f t="shared" si="36"/>
        <v>2</v>
      </c>
      <c r="J519" s="69">
        <v>1</v>
      </c>
      <c r="K519" s="41">
        <v>0</v>
      </c>
      <c r="L519" s="68">
        <v>2</v>
      </c>
      <c r="M519" s="79">
        <v>2</v>
      </c>
      <c r="N519" s="41">
        <f t="shared" si="37"/>
        <v>0</v>
      </c>
      <c r="O519" s="67">
        <f t="shared" si="38"/>
        <v>0</v>
      </c>
    </row>
    <row r="520" spans="1:15" ht="15" customHeight="1" x14ac:dyDescent="0.3">
      <c r="A520" s="55">
        <v>46160</v>
      </c>
      <c r="B520" s="58" t="s">
        <v>20</v>
      </c>
      <c r="C520" s="41">
        <v>3</v>
      </c>
      <c r="D520" s="57">
        <f>VLOOKUP(B520,[1]lantai9!$B:$G,6,FALSE)</f>
        <v>35000</v>
      </c>
      <c r="E520" s="57">
        <f>VLOOKUP(B520,karyawan!B:D,3,FALSE)</f>
        <v>34000</v>
      </c>
      <c r="F520" s="57" t="str">
        <f>VLOOKUP(B520,karyawan!B:E,4,FALSE)</f>
        <v>Sherly</v>
      </c>
      <c r="G520" s="42">
        <v>2</v>
      </c>
      <c r="H520" s="66">
        <f t="shared" si="35"/>
        <v>-1</v>
      </c>
      <c r="I520" s="32">
        <f t="shared" si="36"/>
        <v>2</v>
      </c>
      <c r="J520" s="69">
        <v>0</v>
      </c>
      <c r="K520" s="41">
        <v>0</v>
      </c>
      <c r="L520" s="68">
        <v>2</v>
      </c>
      <c r="M520" s="78">
        <v>2</v>
      </c>
      <c r="N520" s="41">
        <f t="shared" si="37"/>
        <v>0</v>
      </c>
      <c r="O520" s="67">
        <f t="shared" si="38"/>
        <v>0</v>
      </c>
    </row>
    <row r="521" spans="1:15" ht="15" customHeight="1" x14ac:dyDescent="0.3">
      <c r="A521" s="55">
        <v>46160</v>
      </c>
      <c r="B521" s="58" t="s">
        <v>21</v>
      </c>
      <c r="C521" s="41">
        <v>3</v>
      </c>
      <c r="D521" s="57">
        <f>VLOOKUP(B521,[1]lantai9!$B:$G,6,FALSE)</f>
        <v>40000</v>
      </c>
      <c r="E521" s="57">
        <f>VLOOKUP(B521,karyawan!B:D,3,FALSE)</f>
        <v>39000</v>
      </c>
      <c r="F521" s="57" t="str">
        <f>VLOOKUP(B521,karyawan!B:E,4,FALSE)</f>
        <v>Sherly</v>
      </c>
      <c r="G521" s="42">
        <v>4</v>
      </c>
      <c r="H521" s="66">
        <f t="shared" si="35"/>
        <v>-3</v>
      </c>
      <c r="I521" s="32">
        <f t="shared" si="36"/>
        <v>4</v>
      </c>
      <c r="J521" s="69">
        <v>1</v>
      </c>
      <c r="K521" s="41">
        <v>0</v>
      </c>
      <c r="L521" s="68">
        <v>4</v>
      </c>
      <c r="M521" s="78">
        <v>3</v>
      </c>
      <c r="N521" s="41">
        <f t="shared" si="37"/>
        <v>1</v>
      </c>
      <c r="O521" s="67">
        <f t="shared" si="38"/>
        <v>40000</v>
      </c>
    </row>
    <row r="522" spans="1:15" ht="15" customHeight="1" x14ac:dyDescent="0.3">
      <c r="A522" s="55">
        <v>46160</v>
      </c>
      <c r="B522" s="58" t="s">
        <v>19</v>
      </c>
      <c r="C522" s="41">
        <v>3</v>
      </c>
      <c r="D522" s="57">
        <f>VLOOKUP(B522,[1]lantai9!$B:$G,6,FALSE)</f>
        <v>2500</v>
      </c>
      <c r="E522" s="57">
        <f>VLOOKUP(B522,karyawan!B:D,3,FALSE)</f>
        <v>1480</v>
      </c>
      <c r="F522" s="57" t="str">
        <f>VLOOKUP(B522,karyawan!B:E,4,FALSE)</f>
        <v>Compliance</v>
      </c>
      <c r="G522" s="42">
        <v>12</v>
      </c>
      <c r="H522" s="66">
        <f t="shared" si="35"/>
        <v>0</v>
      </c>
      <c r="I522" s="32">
        <f t="shared" si="36"/>
        <v>2</v>
      </c>
      <c r="J522" s="69">
        <v>0</v>
      </c>
      <c r="K522" s="41">
        <v>0</v>
      </c>
      <c r="L522" s="68">
        <v>2</v>
      </c>
      <c r="M522" s="79">
        <v>2</v>
      </c>
      <c r="N522" s="41">
        <f t="shared" si="37"/>
        <v>0</v>
      </c>
      <c r="O522" s="67">
        <f t="shared" si="38"/>
        <v>0</v>
      </c>
    </row>
    <row r="523" spans="1:15" ht="15" customHeight="1" x14ac:dyDescent="0.3">
      <c r="A523" s="55">
        <v>46160</v>
      </c>
      <c r="B523" s="58" t="s">
        <v>17</v>
      </c>
      <c r="C523" s="41">
        <v>3</v>
      </c>
      <c r="D523" s="57">
        <f>VLOOKUP(B523,[1]lantai9!$B:$G,6,FALSE)</f>
        <v>2000</v>
      </c>
      <c r="E523" s="57">
        <f>VLOOKUP(B523,karyawan!B:D,3,FALSE)</f>
        <v>1074</v>
      </c>
      <c r="F523" s="57" t="str">
        <f>VLOOKUP(B523,karyawan!B:E,4,FALSE)</f>
        <v>Compliance</v>
      </c>
      <c r="G523" s="42">
        <v>10</v>
      </c>
      <c r="H523" s="66">
        <f t="shared" si="35"/>
        <v>-18</v>
      </c>
      <c r="I523" s="32">
        <f t="shared" si="36"/>
        <v>10</v>
      </c>
      <c r="J523" s="69">
        <v>4</v>
      </c>
      <c r="K523" s="41">
        <v>0</v>
      </c>
      <c r="L523" s="68">
        <v>10</v>
      </c>
      <c r="M523" s="79">
        <v>6</v>
      </c>
      <c r="N523" s="41">
        <f t="shared" si="37"/>
        <v>4</v>
      </c>
      <c r="O523" s="67">
        <f t="shared" si="38"/>
        <v>8000</v>
      </c>
    </row>
    <row r="524" spans="1:15" ht="15" customHeight="1" x14ac:dyDescent="0.3">
      <c r="A524" s="55">
        <v>46160</v>
      </c>
      <c r="B524" s="58" t="s">
        <v>5</v>
      </c>
      <c r="C524" s="41">
        <v>3</v>
      </c>
      <c r="D524" s="57">
        <f>VLOOKUP(B524,[1]lantai9!$B:$G,6,FALSE)</f>
        <v>2500</v>
      </c>
      <c r="E524" s="57">
        <f>VLOOKUP(B524,karyawan!B:D,3,FALSE)</f>
        <v>1465</v>
      </c>
      <c r="F524" s="57" t="str">
        <f>VLOOKUP(B524,karyawan!B:E,4,FALSE)</f>
        <v>Compliance</v>
      </c>
      <c r="G524" s="42">
        <v>10</v>
      </c>
      <c r="H524" s="66">
        <f t="shared" si="35"/>
        <v>-15</v>
      </c>
      <c r="I524" s="32">
        <f t="shared" si="36"/>
        <v>10</v>
      </c>
      <c r="J524" s="69">
        <v>4</v>
      </c>
      <c r="K524" s="41">
        <v>0</v>
      </c>
      <c r="L524" s="68">
        <v>12</v>
      </c>
      <c r="M524" s="79">
        <v>6</v>
      </c>
      <c r="N524" s="41">
        <f t="shared" si="37"/>
        <v>4</v>
      </c>
      <c r="O524" s="67">
        <f t="shared" si="38"/>
        <v>10000</v>
      </c>
    </row>
    <row r="525" spans="1:15" ht="15" customHeight="1" x14ac:dyDescent="0.3">
      <c r="A525" s="55">
        <v>46160</v>
      </c>
      <c r="B525" s="58" t="s">
        <v>3</v>
      </c>
      <c r="C525" s="41">
        <v>3</v>
      </c>
      <c r="D525" s="57">
        <f>VLOOKUP(B525,[1]lantai9!$B:$G,6,FALSE)</f>
        <v>10000</v>
      </c>
      <c r="E525" s="57">
        <f>VLOOKUP(B525,karyawan!B:D,3,FALSE)</f>
        <v>9200</v>
      </c>
      <c r="F525" s="57" t="str">
        <f>VLOOKUP(B525,karyawan!B:E,4,FALSE)</f>
        <v>Compliance</v>
      </c>
      <c r="G525" s="42">
        <v>15</v>
      </c>
      <c r="H525" s="66">
        <f t="shared" si="35"/>
        <v>-5</v>
      </c>
      <c r="I525" s="32">
        <f t="shared" si="36"/>
        <v>15</v>
      </c>
      <c r="J525" s="69">
        <v>0</v>
      </c>
      <c r="K525" s="41">
        <v>0</v>
      </c>
      <c r="L525" s="68">
        <v>15</v>
      </c>
      <c r="M525" s="79">
        <v>15</v>
      </c>
      <c r="N525" s="41">
        <f t="shared" si="37"/>
        <v>0</v>
      </c>
      <c r="O525" s="67">
        <f t="shared" si="38"/>
        <v>0</v>
      </c>
    </row>
    <row r="526" spans="1:15" ht="15" customHeight="1" x14ac:dyDescent="0.3">
      <c r="A526" s="55">
        <v>46160</v>
      </c>
      <c r="B526" s="58" t="s">
        <v>18</v>
      </c>
      <c r="C526" s="41">
        <v>3</v>
      </c>
      <c r="D526" s="57">
        <f>VLOOKUP(B526,[1]lantai9!$B:$G,6,FALSE)</f>
        <v>15000</v>
      </c>
      <c r="E526" s="57">
        <f>VLOOKUP(B526,karyawan!B:D,3,FALSE)</f>
        <v>13807</v>
      </c>
      <c r="F526" s="57" t="str">
        <f>VLOOKUP(B526,karyawan!B:E,4,FALSE)</f>
        <v>Compliance</v>
      </c>
      <c r="G526" s="42">
        <v>10</v>
      </c>
      <c r="H526" s="66">
        <f t="shared" si="35"/>
        <v>0</v>
      </c>
      <c r="I526" s="32">
        <f t="shared" si="36"/>
        <v>2</v>
      </c>
      <c r="J526" s="69">
        <v>0</v>
      </c>
      <c r="K526" s="41">
        <v>0</v>
      </c>
      <c r="L526" s="68">
        <v>0</v>
      </c>
      <c r="M526" s="79">
        <v>0</v>
      </c>
      <c r="N526" s="41">
        <f t="shared" si="37"/>
        <v>2</v>
      </c>
      <c r="O526" s="67">
        <f t="shared" si="38"/>
        <v>30000</v>
      </c>
    </row>
    <row r="527" spans="1:15" ht="15" customHeight="1" x14ac:dyDescent="0.3">
      <c r="A527" s="55">
        <v>46160</v>
      </c>
      <c r="B527" s="58" t="s">
        <v>10</v>
      </c>
      <c r="C527" s="41">
        <v>3</v>
      </c>
      <c r="D527" s="57">
        <f>VLOOKUP(B527,[1]lantai9!$B:$G,6,FALSE)</f>
        <v>23000</v>
      </c>
      <c r="E527" s="57">
        <f>VLOOKUP(B527,karyawan!B:D,3,FALSE)</f>
        <v>21760</v>
      </c>
      <c r="F527" s="57" t="str">
        <f>VLOOKUP(B527,karyawan!B:E,4,FALSE)</f>
        <v>Compliance</v>
      </c>
      <c r="G527" s="42">
        <v>7</v>
      </c>
      <c r="H527" s="66">
        <f t="shared" si="35"/>
        <v>0</v>
      </c>
      <c r="I527" s="32">
        <f t="shared" si="36"/>
        <v>4</v>
      </c>
      <c r="J527" s="69">
        <v>0</v>
      </c>
      <c r="K527" s="41">
        <v>0</v>
      </c>
      <c r="L527" s="68">
        <v>4</v>
      </c>
      <c r="M527" s="79">
        <v>4</v>
      </c>
      <c r="N527" s="41">
        <f t="shared" si="37"/>
        <v>0</v>
      </c>
      <c r="O527" s="67">
        <f t="shared" si="38"/>
        <v>0</v>
      </c>
    </row>
    <row r="528" spans="1:15" ht="15" customHeight="1" x14ac:dyDescent="0.3">
      <c r="A528" s="55">
        <v>46160</v>
      </c>
      <c r="B528" s="56" t="s">
        <v>23</v>
      </c>
      <c r="C528" s="41">
        <v>3</v>
      </c>
      <c r="D528" s="57">
        <f>VLOOKUP(B528,[1]lantai9!$B:$G,6,FALSE)</f>
        <v>11000</v>
      </c>
      <c r="E528" s="57">
        <f>VLOOKUP(B528,karyawan!B:D,3,FALSE)</f>
        <v>10000</v>
      </c>
      <c r="F528" s="57" t="str">
        <f>VLOOKUP(B528,karyawan!B:E,4,FALSE)</f>
        <v>Compliance</v>
      </c>
      <c r="G528" s="42">
        <v>8</v>
      </c>
      <c r="H528" s="66">
        <f t="shared" si="35"/>
        <v>-4</v>
      </c>
      <c r="I528" s="32">
        <f t="shared" si="36"/>
        <v>8</v>
      </c>
      <c r="J528" s="69">
        <v>0</v>
      </c>
      <c r="K528" s="41">
        <v>0</v>
      </c>
      <c r="L528" s="68">
        <v>7</v>
      </c>
      <c r="M528" s="79">
        <v>7</v>
      </c>
      <c r="N528" s="41">
        <f t="shared" si="37"/>
        <v>1</v>
      </c>
      <c r="O528" s="67">
        <f t="shared" si="38"/>
        <v>11000</v>
      </c>
    </row>
    <row r="529" spans="1:15" ht="15" customHeight="1" x14ac:dyDescent="0.3">
      <c r="A529" s="55">
        <v>46160</v>
      </c>
      <c r="B529" s="56" t="s">
        <v>24</v>
      </c>
      <c r="C529" s="41">
        <v>3</v>
      </c>
      <c r="D529" s="57">
        <f>VLOOKUP(B529,[1]lantai9!$B:$G,6,FALSE)</f>
        <v>14500</v>
      </c>
      <c r="E529" s="57">
        <f>VLOOKUP(B529,karyawan!B:D,3,FALSE)</f>
        <v>13500</v>
      </c>
      <c r="F529" s="57" t="str">
        <f>VLOOKUP(B529,karyawan!B:E,4,FALSE)</f>
        <v>Compliance</v>
      </c>
      <c r="G529" s="42">
        <v>6</v>
      </c>
      <c r="H529" s="66">
        <f t="shared" si="35"/>
        <v>-7</v>
      </c>
      <c r="I529" s="32">
        <f t="shared" si="36"/>
        <v>3</v>
      </c>
      <c r="J529" s="69">
        <v>1</v>
      </c>
      <c r="K529" s="41">
        <v>0</v>
      </c>
      <c r="L529" s="68">
        <v>3</v>
      </c>
      <c r="M529" s="79">
        <v>5</v>
      </c>
      <c r="N529" s="41">
        <f t="shared" si="37"/>
        <v>0</v>
      </c>
      <c r="O529" s="67">
        <f t="shared" si="38"/>
        <v>0</v>
      </c>
    </row>
    <row r="530" spans="1:15" ht="15" customHeight="1" x14ac:dyDescent="0.3">
      <c r="A530" s="55">
        <v>46160</v>
      </c>
      <c r="B530" s="56" t="s">
        <v>15</v>
      </c>
      <c r="C530" s="41">
        <v>3</v>
      </c>
      <c r="D530" s="57">
        <f>VLOOKUP(B530,[1]lantai9!$B:$G,6,FALSE)</f>
        <v>3500</v>
      </c>
      <c r="E530" s="57">
        <f>VLOOKUP(B530,karyawan!B:D,3,FALSE)</f>
        <v>2500</v>
      </c>
      <c r="F530" s="57" t="str">
        <f>VLOOKUP(B530,karyawan!B:E,4,FALSE)</f>
        <v>Compliance</v>
      </c>
      <c r="G530" s="42">
        <v>20</v>
      </c>
      <c r="H530" s="66">
        <f t="shared" si="35"/>
        <v>0</v>
      </c>
      <c r="I530" s="32">
        <f t="shared" si="36"/>
        <v>5</v>
      </c>
      <c r="J530" s="69">
        <v>0</v>
      </c>
      <c r="K530" s="41">
        <v>0</v>
      </c>
      <c r="L530" s="68">
        <v>5</v>
      </c>
      <c r="M530" s="78">
        <v>5</v>
      </c>
      <c r="N530" s="41">
        <f t="shared" si="37"/>
        <v>0</v>
      </c>
      <c r="O530" s="67">
        <f t="shared" si="38"/>
        <v>0</v>
      </c>
    </row>
    <row r="531" spans="1:15" ht="15" customHeight="1" x14ac:dyDescent="0.3">
      <c r="A531" s="55">
        <v>46160</v>
      </c>
      <c r="B531" s="56" t="s">
        <v>22</v>
      </c>
      <c r="C531" s="41">
        <v>3</v>
      </c>
      <c r="D531" s="57">
        <f>VLOOKUP(B531,[1]lantai9!$B:$G,6,FALSE)</f>
        <v>5500</v>
      </c>
      <c r="E531" s="57">
        <f>VLOOKUP(B531,karyawan!B:D,3,FALSE)</f>
        <v>4500</v>
      </c>
      <c r="F531" s="57" t="str">
        <f>VLOOKUP(B531,karyawan!B:E,4,FALSE)</f>
        <v>Compliance</v>
      </c>
      <c r="G531" s="42">
        <v>8</v>
      </c>
      <c r="H531" s="66">
        <f t="shared" si="35"/>
        <v>-2</v>
      </c>
      <c r="I531" s="32">
        <f t="shared" si="36"/>
        <v>8</v>
      </c>
      <c r="J531" s="69">
        <v>0</v>
      </c>
      <c r="K531" s="41">
        <v>0</v>
      </c>
      <c r="L531" s="68">
        <v>9</v>
      </c>
      <c r="M531" s="78">
        <v>8</v>
      </c>
      <c r="N531" s="41">
        <f t="shared" si="37"/>
        <v>0</v>
      </c>
      <c r="O531" s="67">
        <f t="shared" si="38"/>
        <v>0</v>
      </c>
    </row>
    <row r="532" spans="1:15" ht="15" customHeight="1" x14ac:dyDescent="0.3">
      <c r="A532" s="55">
        <v>46160</v>
      </c>
      <c r="B532" s="56" t="s">
        <v>25</v>
      </c>
      <c r="C532" s="41">
        <v>3</v>
      </c>
      <c r="D532" s="57">
        <f>VLOOKUP(B532,[1]lantai9!$B:$G,6,FALSE)</f>
        <v>9000</v>
      </c>
      <c r="E532" s="57">
        <f>VLOOKUP(B532,karyawan!B:D,3,FALSE)</f>
        <v>8000</v>
      </c>
      <c r="F532" s="57" t="str">
        <f>VLOOKUP(B532,karyawan!B:E,4,FALSE)</f>
        <v>Compliance</v>
      </c>
      <c r="G532" s="42">
        <v>3</v>
      </c>
      <c r="H532" s="66">
        <f t="shared" si="35"/>
        <v>0</v>
      </c>
      <c r="I532" s="32">
        <f t="shared" si="36"/>
        <v>0</v>
      </c>
      <c r="J532" s="69">
        <v>0</v>
      </c>
      <c r="K532" s="41">
        <v>0</v>
      </c>
      <c r="L532" s="68">
        <v>9</v>
      </c>
      <c r="M532" s="79">
        <v>1</v>
      </c>
      <c r="N532" s="41">
        <f t="shared" si="37"/>
        <v>0</v>
      </c>
      <c r="O532" s="67">
        <f t="shared" si="38"/>
        <v>0</v>
      </c>
    </row>
    <row r="533" spans="1:15" ht="15" customHeight="1" x14ac:dyDescent="0.3">
      <c r="A533" s="55">
        <v>46160</v>
      </c>
      <c r="B533" s="58" t="s">
        <v>4</v>
      </c>
      <c r="C533" s="41">
        <v>8</v>
      </c>
      <c r="D533" s="57">
        <f>VLOOKUP(B533,[1]lantai9!$B:$G,6,FALSE)</f>
        <v>35000</v>
      </c>
      <c r="E533" s="57">
        <f>VLOOKUP(B533,karyawan!B:D,3,FALSE)</f>
        <v>34000</v>
      </c>
      <c r="F533" s="57" t="str">
        <f>VLOOKUP(B533,karyawan!B:E,4,FALSE)</f>
        <v>Florida</v>
      </c>
      <c r="G533" s="42">
        <v>5</v>
      </c>
      <c r="H533" s="66">
        <f t="shared" si="35"/>
        <v>-10</v>
      </c>
      <c r="I533" s="32">
        <f t="shared" si="36"/>
        <v>5</v>
      </c>
      <c r="J533" s="69">
        <v>0</v>
      </c>
      <c r="K533" s="41">
        <v>0</v>
      </c>
      <c r="L533" s="68">
        <v>5</v>
      </c>
      <c r="M533" s="80">
        <v>5</v>
      </c>
      <c r="N533" s="41">
        <f t="shared" si="37"/>
        <v>0</v>
      </c>
      <c r="O533" s="67">
        <f t="shared" si="38"/>
        <v>0</v>
      </c>
    </row>
    <row r="534" spans="1:15" ht="15" customHeight="1" x14ac:dyDescent="0.3">
      <c r="A534" s="55">
        <v>46160</v>
      </c>
      <c r="B534" s="58" t="s">
        <v>13</v>
      </c>
      <c r="C534" s="41">
        <v>8</v>
      </c>
      <c r="D534" s="57">
        <f>VLOOKUP(B534,[1]lantai9!$B:$G,6,FALSE)</f>
        <v>23000</v>
      </c>
      <c r="E534" s="57">
        <f>VLOOKUP(B534,karyawan!B:D,3,FALSE)</f>
        <v>22000</v>
      </c>
      <c r="F534" s="57" t="str">
        <f>VLOOKUP(B534,karyawan!B:E,4,FALSE)</f>
        <v>Yohannes</v>
      </c>
      <c r="G534" s="42">
        <v>6</v>
      </c>
      <c r="H534" s="66">
        <f t="shared" si="35"/>
        <v>-8</v>
      </c>
      <c r="I534" s="32">
        <f t="shared" si="36"/>
        <v>6</v>
      </c>
      <c r="J534" s="69">
        <v>3</v>
      </c>
      <c r="K534" s="41">
        <v>0</v>
      </c>
      <c r="L534" s="68">
        <v>15</v>
      </c>
      <c r="M534" s="80">
        <v>3</v>
      </c>
      <c r="N534" s="41">
        <f t="shared" si="37"/>
        <v>3</v>
      </c>
      <c r="O534" s="67">
        <f t="shared" si="38"/>
        <v>69000</v>
      </c>
    </row>
    <row r="535" spans="1:15" ht="15" customHeight="1" x14ac:dyDescent="0.3">
      <c r="A535" s="55">
        <v>46160</v>
      </c>
      <c r="B535" s="58" t="s">
        <v>12</v>
      </c>
      <c r="C535" s="41">
        <v>8</v>
      </c>
      <c r="D535" s="57">
        <f>VLOOKUP(B535,[1]lantai9!$B:$G,6,FALSE)</f>
        <v>21000</v>
      </c>
      <c r="E535" s="57">
        <f>VLOOKUP(B535,karyawan!B:D,3,FALSE)</f>
        <v>20000</v>
      </c>
      <c r="F535" s="57" t="str">
        <f>VLOOKUP(B535,karyawan!B:E,4,FALSE)</f>
        <v>Damaz</v>
      </c>
      <c r="G535" s="42">
        <v>2</v>
      </c>
      <c r="H535" s="66">
        <f t="shared" si="35"/>
        <v>0</v>
      </c>
      <c r="I535" s="32">
        <f t="shared" si="36"/>
        <v>0</v>
      </c>
      <c r="J535" s="69">
        <v>2</v>
      </c>
      <c r="K535" s="41">
        <v>0</v>
      </c>
      <c r="L535" s="68">
        <v>1</v>
      </c>
      <c r="M535" s="81">
        <v>0</v>
      </c>
      <c r="N535" s="41">
        <f t="shared" si="37"/>
        <v>0</v>
      </c>
      <c r="O535" s="67">
        <f t="shared" si="38"/>
        <v>0</v>
      </c>
    </row>
    <row r="536" spans="1:15" ht="15" customHeight="1" x14ac:dyDescent="0.3">
      <c r="A536" s="55">
        <v>46160</v>
      </c>
      <c r="B536" s="58" t="s">
        <v>11</v>
      </c>
      <c r="C536" s="41">
        <v>8</v>
      </c>
      <c r="D536" s="57">
        <f>VLOOKUP(B536,[1]lantai9!$B:$G,6,FALSE)</f>
        <v>36000</v>
      </c>
      <c r="E536" s="57">
        <f>VLOOKUP(B536,karyawan!B:D,3,FALSE)</f>
        <v>35000</v>
      </c>
      <c r="F536" s="57" t="str">
        <f>VLOOKUP(B536,karyawan!B:E,4,FALSE)</f>
        <v>Damaz</v>
      </c>
      <c r="G536" s="42">
        <v>3</v>
      </c>
      <c r="H536" s="66">
        <f t="shared" si="35"/>
        <v>0</v>
      </c>
      <c r="I536" s="32">
        <f t="shared" si="36"/>
        <v>2</v>
      </c>
      <c r="J536" s="69">
        <v>1</v>
      </c>
      <c r="K536" s="41">
        <v>0</v>
      </c>
      <c r="L536" s="68">
        <v>2</v>
      </c>
      <c r="M536" s="81">
        <v>2</v>
      </c>
      <c r="N536" s="41">
        <f t="shared" si="37"/>
        <v>0</v>
      </c>
      <c r="O536" s="67">
        <f t="shared" si="38"/>
        <v>0</v>
      </c>
    </row>
    <row r="537" spans="1:15" ht="15" customHeight="1" x14ac:dyDescent="0.3">
      <c r="A537" s="55">
        <v>46160</v>
      </c>
      <c r="B537" s="58" t="s">
        <v>14</v>
      </c>
      <c r="C537" s="41">
        <v>8</v>
      </c>
      <c r="D537" s="57">
        <f>VLOOKUP(B537,[1]lantai9!$B:$G,6,FALSE)</f>
        <v>23000</v>
      </c>
      <c r="E537" s="57">
        <f>VLOOKUP(B537,karyawan!B:D,3,FALSE)</f>
        <v>22000</v>
      </c>
      <c r="F537" s="57" t="str">
        <f>VLOOKUP(B537,karyawan!B:E,4,FALSE)</f>
        <v>Vale</v>
      </c>
      <c r="G537" s="42">
        <v>5</v>
      </c>
      <c r="H537" s="66">
        <f t="shared" si="35"/>
        <v>0</v>
      </c>
      <c r="I537" s="32">
        <f t="shared" si="36"/>
        <v>2</v>
      </c>
      <c r="J537" s="69">
        <v>4</v>
      </c>
      <c r="K537" s="41">
        <v>0</v>
      </c>
      <c r="L537" s="68">
        <v>4</v>
      </c>
      <c r="M537" s="80">
        <v>1</v>
      </c>
      <c r="N537" s="41">
        <f t="shared" si="37"/>
        <v>1</v>
      </c>
      <c r="O537" s="67">
        <f t="shared" si="38"/>
        <v>23000</v>
      </c>
    </row>
    <row r="538" spans="1:15" ht="15" customHeight="1" x14ac:dyDescent="0.3">
      <c r="A538" s="55">
        <v>46160</v>
      </c>
      <c r="B538" s="58" t="s">
        <v>7</v>
      </c>
      <c r="C538" s="41">
        <v>8</v>
      </c>
      <c r="D538" s="57">
        <f>VLOOKUP(B538,[1]lantai9!$B:$G,6,FALSE)</f>
        <v>15000</v>
      </c>
      <c r="E538" s="57">
        <f>VLOOKUP(B538,karyawan!B:D,3,FALSE)</f>
        <v>14000</v>
      </c>
      <c r="F538" s="57" t="str">
        <f>VLOOKUP(B538,karyawan!B:E,4,FALSE)</f>
        <v>Desy</v>
      </c>
      <c r="G538" s="42">
        <v>6</v>
      </c>
      <c r="H538" s="66">
        <f t="shared" si="35"/>
        <v>-8</v>
      </c>
      <c r="I538" s="32">
        <f t="shared" si="36"/>
        <v>6</v>
      </c>
      <c r="J538" s="69">
        <v>3</v>
      </c>
      <c r="K538" s="41">
        <v>0</v>
      </c>
      <c r="L538" s="68">
        <v>2</v>
      </c>
      <c r="M538" s="80">
        <v>3</v>
      </c>
      <c r="N538" s="41">
        <f t="shared" si="37"/>
        <v>3</v>
      </c>
      <c r="O538" s="67">
        <f t="shared" si="38"/>
        <v>45000</v>
      </c>
    </row>
    <row r="539" spans="1:15" ht="15" customHeight="1" x14ac:dyDescent="0.3">
      <c r="A539" s="55">
        <v>46160</v>
      </c>
      <c r="B539" s="58" t="s">
        <v>8</v>
      </c>
      <c r="C539" s="41">
        <v>8</v>
      </c>
      <c r="D539" s="57">
        <f>VLOOKUP(B539,[1]lantai9!$B:$G,6,FALSE)</f>
        <v>18000</v>
      </c>
      <c r="E539" s="57">
        <f>VLOOKUP(B539,karyawan!B:D,3,FALSE)</f>
        <v>17000</v>
      </c>
      <c r="F539" s="57" t="str">
        <f>VLOOKUP(B539,karyawan!B:E,4,FALSE)</f>
        <v>Geby</v>
      </c>
      <c r="G539" s="42">
        <v>4</v>
      </c>
      <c r="H539" s="66">
        <f t="shared" si="35"/>
        <v>0</v>
      </c>
      <c r="I539" s="32">
        <f t="shared" si="36"/>
        <v>3</v>
      </c>
      <c r="J539" s="69">
        <v>1</v>
      </c>
      <c r="K539" s="41">
        <v>0</v>
      </c>
      <c r="L539" s="68">
        <v>2</v>
      </c>
      <c r="M539" s="81">
        <v>3</v>
      </c>
      <c r="N539" s="41">
        <f t="shared" si="37"/>
        <v>0</v>
      </c>
      <c r="O539" s="67">
        <f t="shared" si="38"/>
        <v>0</v>
      </c>
    </row>
    <row r="540" spans="1:15" ht="15" customHeight="1" x14ac:dyDescent="0.3">
      <c r="A540" s="55">
        <v>46160</v>
      </c>
      <c r="B540" s="58" t="s">
        <v>9</v>
      </c>
      <c r="C540" s="41">
        <v>8</v>
      </c>
      <c r="D540" s="57">
        <f>VLOOKUP(B540,[1]lantai9!$B:$G,6,FALSE)</f>
        <v>21000</v>
      </c>
      <c r="E540" s="57">
        <f>VLOOKUP(B540,karyawan!B:D,3,FALSE)</f>
        <v>20000</v>
      </c>
      <c r="F540" s="57" t="str">
        <f>VLOOKUP(B540,karyawan!B:E,4,FALSE)</f>
        <v>Geby</v>
      </c>
      <c r="G540" s="42">
        <v>3</v>
      </c>
      <c r="H540" s="66">
        <f t="shared" si="35"/>
        <v>-6</v>
      </c>
      <c r="I540" s="32">
        <f t="shared" si="36"/>
        <v>2</v>
      </c>
      <c r="J540" s="69">
        <v>1</v>
      </c>
      <c r="K540" s="41">
        <v>0</v>
      </c>
      <c r="L540" s="68">
        <v>1</v>
      </c>
      <c r="M540" s="80">
        <v>2</v>
      </c>
      <c r="N540" s="41">
        <f t="shared" si="37"/>
        <v>0</v>
      </c>
      <c r="O540" s="67">
        <f t="shared" si="38"/>
        <v>0</v>
      </c>
    </row>
    <row r="541" spans="1:15" ht="15" customHeight="1" x14ac:dyDescent="0.3">
      <c r="A541" s="55">
        <v>46160</v>
      </c>
      <c r="B541" s="58" t="s">
        <v>20</v>
      </c>
      <c r="C541" s="41">
        <v>8</v>
      </c>
      <c r="D541" s="57">
        <f>VLOOKUP(B541,[1]lantai9!$B:$G,6,FALSE)</f>
        <v>35000</v>
      </c>
      <c r="E541" s="57">
        <f>VLOOKUP(B541,karyawan!B:D,3,FALSE)</f>
        <v>34000</v>
      </c>
      <c r="F541" s="57" t="str">
        <f>VLOOKUP(B541,karyawan!B:E,4,FALSE)</f>
        <v>Sherly</v>
      </c>
      <c r="G541" s="42">
        <v>2</v>
      </c>
      <c r="H541" s="66">
        <f t="shared" si="35"/>
        <v>-1</v>
      </c>
      <c r="I541" s="32">
        <f t="shared" si="36"/>
        <v>2</v>
      </c>
      <c r="J541" s="69">
        <v>0</v>
      </c>
      <c r="K541" s="41">
        <v>0</v>
      </c>
      <c r="L541" s="68">
        <v>2</v>
      </c>
      <c r="M541" s="81">
        <v>2</v>
      </c>
      <c r="N541" s="41">
        <f t="shared" si="37"/>
        <v>0</v>
      </c>
      <c r="O541" s="67">
        <f t="shared" si="38"/>
        <v>0</v>
      </c>
    </row>
    <row r="542" spans="1:15" ht="15" customHeight="1" x14ac:dyDescent="0.3">
      <c r="A542" s="55">
        <v>46160</v>
      </c>
      <c r="B542" s="58" t="s">
        <v>21</v>
      </c>
      <c r="C542" s="41">
        <v>8</v>
      </c>
      <c r="D542" s="57">
        <f>VLOOKUP(B542,[1]lantai9!$B:$G,6,FALSE)</f>
        <v>40000</v>
      </c>
      <c r="E542" s="57">
        <f>VLOOKUP(B542,karyawan!B:D,3,FALSE)</f>
        <v>39000</v>
      </c>
      <c r="F542" s="57" t="str">
        <f>VLOOKUP(B542,karyawan!B:E,4,FALSE)</f>
        <v>Sherly</v>
      </c>
      <c r="G542" s="42">
        <v>4</v>
      </c>
      <c r="H542" s="66">
        <f t="shared" si="35"/>
        <v>-4</v>
      </c>
      <c r="I542" s="32">
        <f t="shared" si="36"/>
        <v>4</v>
      </c>
      <c r="J542" s="69">
        <v>0</v>
      </c>
      <c r="K542" s="41">
        <v>0</v>
      </c>
      <c r="L542" s="68">
        <v>4</v>
      </c>
      <c r="M542" s="81">
        <v>4</v>
      </c>
      <c r="N542" s="41">
        <f t="shared" si="37"/>
        <v>0</v>
      </c>
      <c r="O542" s="67">
        <f t="shared" si="38"/>
        <v>0</v>
      </c>
    </row>
    <row r="543" spans="1:15" ht="15" customHeight="1" x14ac:dyDescent="0.3">
      <c r="A543" s="55">
        <v>46160</v>
      </c>
      <c r="B543" s="58" t="s">
        <v>19</v>
      </c>
      <c r="C543" s="41">
        <v>8</v>
      </c>
      <c r="D543" s="57">
        <f>VLOOKUP(B543,[1]lantai9!$B:$G,6,FALSE)</f>
        <v>2500</v>
      </c>
      <c r="E543" s="57">
        <f>VLOOKUP(B543,karyawan!B:D,3,FALSE)</f>
        <v>1480</v>
      </c>
      <c r="F543" s="57" t="str">
        <f>VLOOKUP(B543,karyawan!B:E,4,FALSE)</f>
        <v>Compliance</v>
      </c>
      <c r="G543" s="42">
        <v>12</v>
      </c>
      <c r="H543" s="66">
        <f t="shared" si="35"/>
        <v>0</v>
      </c>
      <c r="I543" s="32">
        <f t="shared" si="36"/>
        <v>0</v>
      </c>
      <c r="J543" s="69">
        <v>12</v>
      </c>
      <c r="K543" s="41">
        <v>0</v>
      </c>
      <c r="L543" s="68">
        <v>1</v>
      </c>
      <c r="M543" s="81">
        <v>0</v>
      </c>
      <c r="N543" s="41">
        <f t="shared" si="37"/>
        <v>0</v>
      </c>
      <c r="O543" s="67">
        <f t="shared" si="38"/>
        <v>0</v>
      </c>
    </row>
    <row r="544" spans="1:15" ht="15" customHeight="1" x14ac:dyDescent="0.3">
      <c r="A544" s="55">
        <v>46160</v>
      </c>
      <c r="B544" s="58" t="s">
        <v>17</v>
      </c>
      <c r="C544" s="41">
        <v>8</v>
      </c>
      <c r="D544" s="57">
        <f>VLOOKUP(B544,[1]lantai9!$B:$G,6,FALSE)</f>
        <v>2000</v>
      </c>
      <c r="E544" s="57">
        <f>VLOOKUP(B544,karyawan!B:D,3,FALSE)</f>
        <v>1074</v>
      </c>
      <c r="F544" s="57" t="str">
        <f>VLOOKUP(B544,karyawan!B:E,4,FALSE)</f>
        <v>Compliance</v>
      </c>
      <c r="G544" s="42">
        <v>10</v>
      </c>
      <c r="H544" s="66">
        <f t="shared" si="35"/>
        <v>-22</v>
      </c>
      <c r="I544" s="32">
        <f t="shared" si="36"/>
        <v>10</v>
      </c>
      <c r="J544" s="69">
        <v>3</v>
      </c>
      <c r="K544" s="41">
        <v>0</v>
      </c>
      <c r="L544" s="68">
        <v>10</v>
      </c>
      <c r="M544" s="80">
        <v>7</v>
      </c>
      <c r="N544" s="41">
        <f t="shared" si="37"/>
        <v>3</v>
      </c>
      <c r="O544" s="67">
        <f t="shared" si="38"/>
        <v>6000</v>
      </c>
    </row>
    <row r="545" spans="1:15" ht="15" customHeight="1" x14ac:dyDescent="0.3">
      <c r="A545" s="55">
        <v>46160</v>
      </c>
      <c r="B545" s="58" t="s">
        <v>5</v>
      </c>
      <c r="C545" s="41">
        <v>8</v>
      </c>
      <c r="D545" s="57">
        <f>VLOOKUP(B545,[1]lantai9!$B:$G,6,FALSE)</f>
        <v>2500</v>
      </c>
      <c r="E545" s="57">
        <f>VLOOKUP(B545,karyawan!B:D,3,FALSE)</f>
        <v>1465</v>
      </c>
      <c r="F545" s="57" t="str">
        <f>VLOOKUP(B545,karyawan!B:E,4,FALSE)</f>
        <v>Compliance</v>
      </c>
      <c r="G545" s="42">
        <v>10</v>
      </c>
      <c r="H545" s="66">
        <f t="shared" si="35"/>
        <v>-19</v>
      </c>
      <c r="I545" s="32">
        <f t="shared" si="36"/>
        <v>10</v>
      </c>
      <c r="J545" s="69">
        <v>2</v>
      </c>
      <c r="K545" s="41">
        <v>0</v>
      </c>
      <c r="L545" s="68">
        <v>11</v>
      </c>
      <c r="M545" s="80">
        <v>8</v>
      </c>
      <c r="N545" s="41">
        <f t="shared" si="37"/>
        <v>2</v>
      </c>
      <c r="O545" s="67">
        <f t="shared" si="38"/>
        <v>5000</v>
      </c>
    </row>
    <row r="546" spans="1:15" ht="15" customHeight="1" x14ac:dyDescent="0.3">
      <c r="A546" s="55">
        <v>46160</v>
      </c>
      <c r="B546" s="58" t="s">
        <v>3</v>
      </c>
      <c r="C546" s="41">
        <v>8</v>
      </c>
      <c r="D546" s="57">
        <f>VLOOKUP(B546,[1]lantai9!$B:$G,6,FALSE)</f>
        <v>10000</v>
      </c>
      <c r="E546" s="57">
        <f>VLOOKUP(B546,karyawan!B:D,3,FALSE)</f>
        <v>9200</v>
      </c>
      <c r="F546" s="57" t="str">
        <f>VLOOKUP(B546,karyawan!B:E,4,FALSE)</f>
        <v>Compliance</v>
      </c>
      <c r="G546" s="42">
        <v>15</v>
      </c>
      <c r="H546" s="66">
        <f t="shared" si="35"/>
        <v>-5</v>
      </c>
      <c r="I546" s="32">
        <f t="shared" ref="I546:I577" si="39">J483+M483+K546</f>
        <v>15</v>
      </c>
      <c r="J546" s="69">
        <v>0</v>
      </c>
      <c r="K546" s="41">
        <v>0</v>
      </c>
      <c r="L546" s="68">
        <v>15</v>
      </c>
      <c r="M546" s="80">
        <v>15</v>
      </c>
      <c r="N546" s="41">
        <f t="shared" si="37"/>
        <v>0</v>
      </c>
      <c r="O546" s="67">
        <f t="shared" si="38"/>
        <v>0</v>
      </c>
    </row>
    <row r="547" spans="1:15" ht="15" customHeight="1" x14ac:dyDescent="0.3">
      <c r="A547" s="55">
        <v>46160</v>
      </c>
      <c r="B547" s="58" t="s">
        <v>18</v>
      </c>
      <c r="C547" s="41">
        <v>8</v>
      </c>
      <c r="D547" s="57">
        <f>VLOOKUP(B547,[1]lantai9!$B:$G,6,FALSE)</f>
        <v>15000</v>
      </c>
      <c r="E547" s="57">
        <f>VLOOKUP(B547,karyawan!B:D,3,FALSE)</f>
        <v>13807</v>
      </c>
      <c r="F547" s="57" t="str">
        <f>VLOOKUP(B547,karyawan!B:E,4,FALSE)</f>
        <v>Compliance</v>
      </c>
      <c r="G547" s="42">
        <v>10</v>
      </c>
      <c r="H547" s="66">
        <f t="shared" si="35"/>
        <v>0</v>
      </c>
      <c r="I547" s="32">
        <f t="shared" si="39"/>
        <v>2</v>
      </c>
      <c r="J547" s="69">
        <v>0</v>
      </c>
      <c r="K547" s="41">
        <v>0</v>
      </c>
      <c r="L547" s="68">
        <v>1</v>
      </c>
      <c r="M547" s="80">
        <v>0</v>
      </c>
      <c r="N547" s="41">
        <f t="shared" si="37"/>
        <v>2</v>
      </c>
      <c r="O547" s="67">
        <f t="shared" si="38"/>
        <v>30000</v>
      </c>
    </row>
    <row r="548" spans="1:15" ht="15" customHeight="1" x14ac:dyDescent="0.3">
      <c r="A548" s="55">
        <v>46160</v>
      </c>
      <c r="B548" s="58" t="s">
        <v>10</v>
      </c>
      <c r="C548" s="41">
        <v>8</v>
      </c>
      <c r="D548" s="57">
        <f>VLOOKUP(B548,[1]lantai9!$B:$G,6,FALSE)</f>
        <v>23000</v>
      </c>
      <c r="E548" s="57">
        <f>VLOOKUP(B548,karyawan!B:D,3,FALSE)</f>
        <v>21760</v>
      </c>
      <c r="F548" s="57" t="str">
        <f>VLOOKUP(B548,karyawan!B:E,4,FALSE)</f>
        <v>Compliance</v>
      </c>
      <c r="G548" s="42">
        <v>7</v>
      </c>
      <c r="H548" s="66">
        <f t="shared" si="35"/>
        <v>0</v>
      </c>
      <c r="I548" s="32">
        <f t="shared" si="39"/>
        <v>5</v>
      </c>
      <c r="J548" s="69">
        <v>0</v>
      </c>
      <c r="K548" s="41">
        <v>0</v>
      </c>
      <c r="L548" s="68">
        <v>5</v>
      </c>
      <c r="M548" s="80">
        <v>4</v>
      </c>
      <c r="N548" s="41">
        <f t="shared" si="37"/>
        <v>1</v>
      </c>
      <c r="O548" s="67">
        <f t="shared" si="38"/>
        <v>23000</v>
      </c>
    </row>
    <row r="549" spans="1:15" ht="15" customHeight="1" x14ac:dyDescent="0.3">
      <c r="A549" s="55">
        <v>46160</v>
      </c>
      <c r="B549" s="56" t="s">
        <v>23</v>
      </c>
      <c r="C549" s="41">
        <v>8</v>
      </c>
      <c r="D549" s="57">
        <f>VLOOKUP(B549,[1]lantai9!$B:$G,6,FALSE)</f>
        <v>11000</v>
      </c>
      <c r="E549" s="57">
        <f>VLOOKUP(B549,karyawan!B:D,3,FALSE)</f>
        <v>10000</v>
      </c>
      <c r="F549" s="57" t="str">
        <f>VLOOKUP(B549,karyawan!B:E,4,FALSE)</f>
        <v>Compliance</v>
      </c>
      <c r="G549" s="42">
        <v>8</v>
      </c>
      <c r="H549" s="66">
        <f t="shared" si="35"/>
        <v>-4</v>
      </c>
      <c r="I549" s="32">
        <f t="shared" si="39"/>
        <v>8</v>
      </c>
      <c r="J549" s="69">
        <v>2</v>
      </c>
      <c r="K549" s="41">
        <v>0</v>
      </c>
      <c r="L549" s="68">
        <v>5</v>
      </c>
      <c r="M549" s="80">
        <v>4</v>
      </c>
      <c r="N549" s="41">
        <f t="shared" si="37"/>
        <v>4</v>
      </c>
      <c r="O549" s="67">
        <f t="shared" si="38"/>
        <v>44000</v>
      </c>
    </row>
    <row r="550" spans="1:15" ht="15" customHeight="1" x14ac:dyDescent="0.3">
      <c r="A550" s="55">
        <v>46160</v>
      </c>
      <c r="B550" s="56" t="s">
        <v>24</v>
      </c>
      <c r="C550" s="41">
        <v>8</v>
      </c>
      <c r="D550" s="57">
        <f>VLOOKUP(B550,[1]lantai9!$B:$G,6,FALSE)</f>
        <v>14500</v>
      </c>
      <c r="E550" s="57">
        <f>VLOOKUP(B550,karyawan!B:D,3,FALSE)</f>
        <v>13500</v>
      </c>
      <c r="F550" s="57" t="str">
        <f>VLOOKUP(B550,karyawan!B:E,4,FALSE)</f>
        <v>Compliance</v>
      </c>
      <c r="G550" s="42">
        <v>6</v>
      </c>
      <c r="H550" s="66">
        <f t="shared" si="35"/>
        <v>-8</v>
      </c>
      <c r="I550" s="32">
        <f t="shared" si="39"/>
        <v>6</v>
      </c>
      <c r="J550" s="69">
        <v>5</v>
      </c>
      <c r="K550" s="41">
        <v>0</v>
      </c>
      <c r="L550" s="68">
        <v>6</v>
      </c>
      <c r="M550" s="80">
        <v>1</v>
      </c>
      <c r="N550" s="41">
        <f t="shared" si="37"/>
        <v>5</v>
      </c>
      <c r="O550" s="67">
        <f t="shared" si="38"/>
        <v>72500</v>
      </c>
    </row>
    <row r="551" spans="1:15" ht="15" customHeight="1" x14ac:dyDescent="0.3">
      <c r="A551" s="55">
        <v>46160</v>
      </c>
      <c r="B551" s="56" t="s">
        <v>15</v>
      </c>
      <c r="C551" s="41">
        <v>8</v>
      </c>
      <c r="D551" s="57">
        <f>VLOOKUP(B551,[1]lantai9!$B:$G,6,FALSE)</f>
        <v>3500</v>
      </c>
      <c r="E551" s="57">
        <f>VLOOKUP(B551,karyawan!B:D,3,FALSE)</f>
        <v>2500</v>
      </c>
      <c r="F551" s="57" t="str">
        <f>VLOOKUP(B551,karyawan!B:E,4,FALSE)</f>
        <v>Compliance</v>
      </c>
      <c r="G551" s="42">
        <v>20</v>
      </c>
      <c r="H551" s="66">
        <f t="shared" si="35"/>
        <v>0</v>
      </c>
      <c r="I551" s="32">
        <f t="shared" si="39"/>
        <v>16</v>
      </c>
      <c r="J551" s="69">
        <v>0</v>
      </c>
      <c r="K551" s="41">
        <v>0</v>
      </c>
      <c r="L551" s="68">
        <v>14</v>
      </c>
      <c r="M551" s="80">
        <v>14</v>
      </c>
      <c r="N551" s="41">
        <f t="shared" si="37"/>
        <v>2</v>
      </c>
      <c r="O551" s="67">
        <f t="shared" si="38"/>
        <v>7000</v>
      </c>
    </row>
    <row r="552" spans="1:15" ht="15" customHeight="1" x14ac:dyDescent="0.3">
      <c r="A552" s="55">
        <v>46160</v>
      </c>
      <c r="B552" s="56" t="s">
        <v>22</v>
      </c>
      <c r="C552" s="41">
        <v>8</v>
      </c>
      <c r="D552" s="57">
        <f>VLOOKUP(B552,[1]lantai9!$B:$G,6,FALSE)</f>
        <v>5500</v>
      </c>
      <c r="E552" s="57">
        <f>VLOOKUP(B552,karyawan!B:D,3,FALSE)</f>
        <v>4500</v>
      </c>
      <c r="F552" s="57" t="str">
        <f>VLOOKUP(B552,karyawan!B:E,4,FALSE)</f>
        <v>Compliance</v>
      </c>
      <c r="G552" s="42">
        <v>8</v>
      </c>
      <c r="H552" s="66">
        <f t="shared" si="35"/>
        <v>-2</v>
      </c>
      <c r="I552" s="32">
        <f t="shared" si="39"/>
        <v>8</v>
      </c>
      <c r="J552" s="69">
        <v>0</v>
      </c>
      <c r="K552" s="41">
        <v>0</v>
      </c>
      <c r="L552" s="68">
        <v>14</v>
      </c>
      <c r="M552" s="80">
        <v>8</v>
      </c>
      <c r="N552" s="41">
        <f t="shared" si="37"/>
        <v>0</v>
      </c>
      <c r="O552" s="67">
        <f t="shared" si="38"/>
        <v>0</v>
      </c>
    </row>
    <row r="553" spans="1:15" ht="15" customHeight="1" x14ac:dyDescent="0.3">
      <c r="A553" s="55">
        <v>46160</v>
      </c>
      <c r="B553" s="56" t="s">
        <v>25</v>
      </c>
      <c r="C553" s="41">
        <v>8</v>
      </c>
      <c r="D553" s="57">
        <f>VLOOKUP(B553,[1]lantai9!$B:$G,6,FALSE)</f>
        <v>9000</v>
      </c>
      <c r="E553" s="57">
        <f>VLOOKUP(B553,karyawan!B:D,3,FALSE)</f>
        <v>8000</v>
      </c>
      <c r="F553" s="57" t="str">
        <f>VLOOKUP(B553,karyawan!B:E,4,FALSE)</f>
        <v>Compliance</v>
      </c>
      <c r="G553" s="42">
        <v>3</v>
      </c>
      <c r="H553" s="66">
        <f t="shared" si="35"/>
        <v>0</v>
      </c>
      <c r="I553" s="32">
        <f t="shared" si="39"/>
        <v>0</v>
      </c>
      <c r="J553" s="69">
        <v>0</v>
      </c>
      <c r="K553" s="41">
        <v>0</v>
      </c>
      <c r="L553" s="68">
        <v>3</v>
      </c>
      <c r="M553" s="80">
        <v>3</v>
      </c>
      <c r="N553" s="41">
        <f t="shared" si="37"/>
        <v>0</v>
      </c>
      <c r="O553" s="67">
        <f t="shared" si="38"/>
        <v>0</v>
      </c>
    </row>
    <row r="554" spans="1:15" ht="15" customHeight="1" x14ac:dyDescent="0.3">
      <c r="A554" s="55">
        <v>46160</v>
      </c>
      <c r="B554" s="58" t="s">
        <v>4</v>
      </c>
      <c r="C554" s="41">
        <v>9</v>
      </c>
      <c r="D554" s="57">
        <f>VLOOKUP(B554,[1]lantai9!$B:$G,6,FALSE)</f>
        <v>35000</v>
      </c>
      <c r="E554" s="57">
        <f>VLOOKUP(B554,karyawan!B:D,3,FALSE)</f>
        <v>34000</v>
      </c>
      <c r="F554" s="57" t="str">
        <f>VLOOKUP(B554,karyawan!B:E,4,FALSE)</f>
        <v>Florida</v>
      </c>
      <c r="G554" s="42">
        <v>5</v>
      </c>
      <c r="H554" s="66">
        <f t="shared" si="35"/>
        <v>-10</v>
      </c>
      <c r="I554" s="32">
        <f t="shared" si="39"/>
        <v>5</v>
      </c>
      <c r="J554" s="69">
        <v>0</v>
      </c>
      <c r="K554" s="41">
        <v>0</v>
      </c>
      <c r="L554" s="68">
        <v>5</v>
      </c>
      <c r="M554" s="82">
        <v>5</v>
      </c>
      <c r="N554" s="41">
        <f t="shared" si="37"/>
        <v>0</v>
      </c>
      <c r="O554" s="67">
        <f t="shared" si="38"/>
        <v>0</v>
      </c>
    </row>
    <row r="555" spans="1:15" ht="15" customHeight="1" x14ac:dyDescent="0.3">
      <c r="A555" s="55">
        <v>46160</v>
      </c>
      <c r="B555" s="58" t="s">
        <v>13</v>
      </c>
      <c r="C555" s="41">
        <v>9</v>
      </c>
      <c r="D555" s="57">
        <f>VLOOKUP(B555,[1]lantai9!$B:$G,6,FALSE)</f>
        <v>23000</v>
      </c>
      <c r="E555" s="57">
        <f>VLOOKUP(B555,karyawan!B:D,3,FALSE)</f>
        <v>22000</v>
      </c>
      <c r="F555" s="57" t="str">
        <f>VLOOKUP(B555,karyawan!B:E,4,FALSE)</f>
        <v>Yohannes</v>
      </c>
      <c r="G555" s="42">
        <v>6</v>
      </c>
      <c r="H555" s="66">
        <f t="shared" si="35"/>
        <v>-11</v>
      </c>
      <c r="I555" s="32">
        <f t="shared" si="39"/>
        <v>7</v>
      </c>
      <c r="J555" s="69">
        <v>0</v>
      </c>
      <c r="K555" s="41">
        <v>0</v>
      </c>
      <c r="L555" s="68">
        <v>4</v>
      </c>
      <c r="M555" s="82">
        <v>2</v>
      </c>
      <c r="N555" s="41">
        <f t="shared" si="37"/>
        <v>5</v>
      </c>
      <c r="O555" s="67">
        <f t="shared" si="38"/>
        <v>115000</v>
      </c>
    </row>
    <row r="556" spans="1:15" ht="15" customHeight="1" x14ac:dyDescent="0.3">
      <c r="A556" s="55">
        <v>46160</v>
      </c>
      <c r="B556" s="58" t="s">
        <v>12</v>
      </c>
      <c r="C556" s="41">
        <v>9</v>
      </c>
      <c r="D556" s="57">
        <f>VLOOKUP(B556,[1]lantai9!$B:$G,6,FALSE)</f>
        <v>21000</v>
      </c>
      <c r="E556" s="57">
        <f>VLOOKUP(B556,karyawan!B:D,3,FALSE)</f>
        <v>20000</v>
      </c>
      <c r="F556" s="57" t="str">
        <f>VLOOKUP(B556,karyawan!B:E,4,FALSE)</f>
        <v>Damaz</v>
      </c>
      <c r="G556" s="42">
        <v>2</v>
      </c>
      <c r="H556" s="66">
        <f t="shared" si="35"/>
        <v>-2</v>
      </c>
      <c r="I556" s="32">
        <f t="shared" si="39"/>
        <v>0</v>
      </c>
      <c r="J556" s="69">
        <v>0</v>
      </c>
      <c r="K556" s="41">
        <v>0</v>
      </c>
      <c r="L556" s="68">
        <v>0</v>
      </c>
      <c r="M556" s="83">
        <v>0</v>
      </c>
      <c r="N556" s="41">
        <f t="shared" si="37"/>
        <v>0</v>
      </c>
      <c r="O556" s="67">
        <f t="shared" si="38"/>
        <v>0</v>
      </c>
    </row>
    <row r="557" spans="1:15" ht="15" customHeight="1" x14ac:dyDescent="0.3">
      <c r="A557" s="55">
        <v>46160</v>
      </c>
      <c r="B557" s="58" t="s">
        <v>11</v>
      </c>
      <c r="C557" s="41">
        <v>9</v>
      </c>
      <c r="D557" s="57">
        <f>VLOOKUP(B557,[1]lantai9!$B:$G,6,FALSE)</f>
        <v>36000</v>
      </c>
      <c r="E557" s="57">
        <f>VLOOKUP(B557,karyawan!B:D,3,FALSE)</f>
        <v>35000</v>
      </c>
      <c r="F557" s="57" t="str">
        <f>VLOOKUP(B557,karyawan!B:E,4,FALSE)</f>
        <v>Damaz</v>
      </c>
      <c r="G557" s="42">
        <v>3</v>
      </c>
      <c r="H557" s="66">
        <f t="shared" si="35"/>
        <v>-1</v>
      </c>
      <c r="I557" s="32">
        <f t="shared" si="39"/>
        <v>0</v>
      </c>
      <c r="J557" s="69">
        <v>0</v>
      </c>
      <c r="K557" s="41">
        <v>0</v>
      </c>
      <c r="L557" s="68">
        <v>0</v>
      </c>
      <c r="M557" s="83">
        <v>0</v>
      </c>
      <c r="N557" s="41">
        <f t="shared" si="37"/>
        <v>0</v>
      </c>
      <c r="O557" s="67">
        <f t="shared" si="38"/>
        <v>0</v>
      </c>
    </row>
    <row r="558" spans="1:15" ht="15" customHeight="1" x14ac:dyDescent="0.3">
      <c r="A558" s="55">
        <v>46160</v>
      </c>
      <c r="B558" s="58" t="s">
        <v>14</v>
      </c>
      <c r="C558" s="41">
        <v>9</v>
      </c>
      <c r="D558" s="57">
        <f>VLOOKUP(B558,[1]lantai9!$B:$G,6,FALSE)</f>
        <v>23000</v>
      </c>
      <c r="E558" s="57">
        <f>VLOOKUP(B558,karyawan!B:D,3,FALSE)</f>
        <v>22000</v>
      </c>
      <c r="F558" s="57" t="str">
        <f>VLOOKUP(B558,karyawan!B:E,4,FALSE)</f>
        <v>Vale</v>
      </c>
      <c r="G558" s="42">
        <v>5</v>
      </c>
      <c r="H558" s="66">
        <f t="shared" si="35"/>
        <v>-4</v>
      </c>
      <c r="I558" s="32">
        <f t="shared" si="39"/>
        <v>0</v>
      </c>
      <c r="J558" s="69">
        <v>0</v>
      </c>
      <c r="K558" s="41">
        <v>0</v>
      </c>
      <c r="L558" s="68">
        <v>-1</v>
      </c>
      <c r="M558" s="83">
        <v>0</v>
      </c>
      <c r="N558" s="41">
        <f t="shared" si="37"/>
        <v>0</v>
      </c>
      <c r="O558" s="67">
        <f t="shared" si="38"/>
        <v>0</v>
      </c>
    </row>
    <row r="559" spans="1:15" ht="15" customHeight="1" x14ac:dyDescent="0.3">
      <c r="A559" s="55">
        <v>46160</v>
      </c>
      <c r="B559" s="58" t="s">
        <v>7</v>
      </c>
      <c r="C559" s="41">
        <v>9</v>
      </c>
      <c r="D559" s="57">
        <f>VLOOKUP(B559,[1]lantai9!$B:$G,6,FALSE)</f>
        <v>15000</v>
      </c>
      <c r="E559" s="57">
        <f>VLOOKUP(B559,karyawan!B:D,3,FALSE)</f>
        <v>14000</v>
      </c>
      <c r="F559" s="57" t="str">
        <f>VLOOKUP(B559,karyawan!B:E,4,FALSE)</f>
        <v>Desy</v>
      </c>
      <c r="G559" s="42">
        <v>6</v>
      </c>
      <c r="H559" s="66">
        <f t="shared" si="35"/>
        <v>-11</v>
      </c>
      <c r="I559" s="32">
        <f t="shared" si="39"/>
        <v>4</v>
      </c>
      <c r="J559" s="69">
        <v>3</v>
      </c>
      <c r="K559" s="41">
        <v>0</v>
      </c>
      <c r="L559" s="68">
        <v>4</v>
      </c>
      <c r="M559" s="82">
        <v>3</v>
      </c>
      <c r="N559" s="41">
        <f t="shared" si="37"/>
        <v>1</v>
      </c>
      <c r="O559" s="67">
        <f t="shared" si="38"/>
        <v>15000</v>
      </c>
    </row>
    <row r="560" spans="1:15" ht="15" customHeight="1" x14ac:dyDescent="0.3">
      <c r="A560" s="55">
        <v>46160</v>
      </c>
      <c r="B560" s="58" t="s">
        <v>8</v>
      </c>
      <c r="C560" s="41">
        <v>9</v>
      </c>
      <c r="D560" s="57">
        <f>VLOOKUP(B560,[1]lantai9!$B:$G,6,FALSE)</f>
        <v>18000</v>
      </c>
      <c r="E560" s="57">
        <f>VLOOKUP(B560,karyawan!B:D,3,FALSE)</f>
        <v>17000</v>
      </c>
      <c r="F560" s="57" t="str">
        <f>VLOOKUP(B560,karyawan!B:E,4,FALSE)</f>
        <v>Geby</v>
      </c>
      <c r="G560" s="42">
        <v>4</v>
      </c>
      <c r="H560" s="66">
        <f t="shared" si="35"/>
        <v>-1</v>
      </c>
      <c r="I560" s="32">
        <f t="shared" si="39"/>
        <v>0</v>
      </c>
      <c r="J560" s="69">
        <v>0</v>
      </c>
      <c r="K560" s="41">
        <v>0</v>
      </c>
      <c r="L560" s="68">
        <v>-1</v>
      </c>
      <c r="M560" s="82">
        <v>4</v>
      </c>
      <c r="N560" s="41">
        <f t="shared" si="37"/>
        <v>0</v>
      </c>
      <c r="O560" s="67">
        <f t="shared" si="38"/>
        <v>0</v>
      </c>
    </row>
    <row r="561" spans="1:15" ht="15" customHeight="1" x14ac:dyDescent="0.3">
      <c r="A561" s="55">
        <v>46160</v>
      </c>
      <c r="B561" s="58" t="s">
        <v>9</v>
      </c>
      <c r="C561" s="41">
        <v>9</v>
      </c>
      <c r="D561" s="57">
        <f>VLOOKUP(B561,[1]lantai9!$B:$G,6,FALSE)</f>
        <v>21000</v>
      </c>
      <c r="E561" s="57">
        <f>VLOOKUP(B561,karyawan!B:D,3,FALSE)</f>
        <v>20000</v>
      </c>
      <c r="F561" s="57" t="str">
        <f>VLOOKUP(B561,karyawan!B:E,4,FALSE)</f>
        <v>Geby</v>
      </c>
      <c r="G561" s="42">
        <v>3</v>
      </c>
      <c r="H561" s="66">
        <f t="shared" si="35"/>
        <v>-7</v>
      </c>
      <c r="I561" s="32">
        <f t="shared" si="39"/>
        <v>4</v>
      </c>
      <c r="J561" s="69">
        <v>1</v>
      </c>
      <c r="K561" s="41">
        <v>0</v>
      </c>
      <c r="L561" s="68">
        <v>2</v>
      </c>
      <c r="M561" s="82">
        <v>2</v>
      </c>
      <c r="N561" s="41">
        <f t="shared" si="37"/>
        <v>2</v>
      </c>
      <c r="O561" s="67">
        <f t="shared" si="38"/>
        <v>42000</v>
      </c>
    </row>
    <row r="562" spans="1:15" ht="15" customHeight="1" x14ac:dyDescent="0.3">
      <c r="A562" s="55">
        <v>46160</v>
      </c>
      <c r="B562" s="58" t="s">
        <v>20</v>
      </c>
      <c r="C562" s="41">
        <v>9</v>
      </c>
      <c r="D562" s="57">
        <f>VLOOKUP(B562,[1]lantai9!$B:$G,6,FALSE)</f>
        <v>35000</v>
      </c>
      <c r="E562" s="57">
        <f>VLOOKUP(B562,karyawan!B:D,3,FALSE)</f>
        <v>34000</v>
      </c>
      <c r="F562" s="57" t="str">
        <f>VLOOKUP(B562,karyawan!B:E,4,FALSE)</f>
        <v>Sherly</v>
      </c>
      <c r="G562" s="42">
        <v>2</v>
      </c>
      <c r="H562" s="66">
        <f t="shared" si="35"/>
        <v>-1</v>
      </c>
      <c r="I562" s="32">
        <f t="shared" si="39"/>
        <v>2</v>
      </c>
      <c r="J562" s="69">
        <v>9</v>
      </c>
      <c r="K562" s="41">
        <v>0</v>
      </c>
      <c r="L562" s="68">
        <v>1</v>
      </c>
      <c r="M562" s="82">
        <v>2</v>
      </c>
      <c r="N562" s="41">
        <f t="shared" si="37"/>
        <v>0</v>
      </c>
      <c r="O562" s="67">
        <f t="shared" si="38"/>
        <v>0</v>
      </c>
    </row>
    <row r="563" spans="1:15" ht="15" customHeight="1" x14ac:dyDescent="0.3">
      <c r="A563" s="55">
        <v>46160</v>
      </c>
      <c r="B563" s="58" t="s">
        <v>21</v>
      </c>
      <c r="C563" s="41">
        <v>9</v>
      </c>
      <c r="D563" s="57">
        <f>VLOOKUP(B563,[1]lantai9!$B:$G,6,FALSE)</f>
        <v>40000</v>
      </c>
      <c r="E563" s="57">
        <f>VLOOKUP(B563,karyawan!B:D,3,FALSE)</f>
        <v>39000</v>
      </c>
      <c r="F563" s="57" t="str">
        <f>VLOOKUP(B563,karyawan!B:E,4,FALSE)</f>
        <v>Sherly</v>
      </c>
      <c r="G563" s="42">
        <v>4</v>
      </c>
      <c r="H563" s="66">
        <f t="shared" si="35"/>
        <v>-4</v>
      </c>
      <c r="I563" s="32">
        <f t="shared" si="39"/>
        <v>4</v>
      </c>
      <c r="J563" s="69">
        <v>1</v>
      </c>
      <c r="K563" s="41">
        <v>0</v>
      </c>
      <c r="L563" s="68">
        <v>4</v>
      </c>
      <c r="M563" s="82">
        <v>4</v>
      </c>
      <c r="N563" s="41">
        <f t="shared" si="37"/>
        <v>0</v>
      </c>
      <c r="O563" s="67">
        <f t="shared" si="38"/>
        <v>0</v>
      </c>
    </row>
    <row r="564" spans="1:15" ht="15" customHeight="1" x14ac:dyDescent="0.3">
      <c r="A564" s="55">
        <v>46160</v>
      </c>
      <c r="B564" s="58" t="s">
        <v>19</v>
      </c>
      <c r="C564" s="41">
        <v>9</v>
      </c>
      <c r="D564" s="57">
        <f>VLOOKUP(B564,[1]lantai9!$B:$G,6,FALSE)</f>
        <v>2500</v>
      </c>
      <c r="E564" s="57">
        <f>VLOOKUP(B564,karyawan!B:D,3,FALSE)</f>
        <v>1480</v>
      </c>
      <c r="F564" s="57" t="str">
        <f>VLOOKUP(B564,karyawan!B:E,4,FALSE)</f>
        <v>Compliance</v>
      </c>
      <c r="G564" s="42">
        <v>12</v>
      </c>
      <c r="H564" s="66">
        <f t="shared" si="35"/>
        <v>-12</v>
      </c>
      <c r="I564" s="32">
        <f t="shared" si="39"/>
        <v>1</v>
      </c>
      <c r="J564" s="69">
        <v>0</v>
      </c>
      <c r="K564" s="41">
        <v>0</v>
      </c>
      <c r="L564" s="68">
        <v>1</v>
      </c>
      <c r="M564" s="82">
        <v>1</v>
      </c>
      <c r="N564" s="41">
        <f t="shared" si="37"/>
        <v>0</v>
      </c>
      <c r="O564" s="67">
        <f t="shared" si="38"/>
        <v>0</v>
      </c>
    </row>
    <row r="565" spans="1:15" ht="15" customHeight="1" x14ac:dyDescent="0.3">
      <c r="A565" s="55">
        <v>46160</v>
      </c>
      <c r="B565" s="58" t="s">
        <v>17</v>
      </c>
      <c r="C565" s="41">
        <v>9</v>
      </c>
      <c r="D565" s="57">
        <f>VLOOKUP(B565,[1]lantai9!$B:$G,6,FALSE)</f>
        <v>2000</v>
      </c>
      <c r="E565" s="57">
        <f>VLOOKUP(B565,karyawan!B:D,3,FALSE)</f>
        <v>1074</v>
      </c>
      <c r="F565" s="57" t="str">
        <f>VLOOKUP(B565,karyawan!B:E,4,FALSE)</f>
        <v>Compliance</v>
      </c>
      <c r="G565" s="42">
        <v>10</v>
      </c>
      <c r="H565" s="66">
        <f t="shared" si="35"/>
        <v>-25</v>
      </c>
      <c r="I565" s="32">
        <f t="shared" si="39"/>
        <v>10</v>
      </c>
      <c r="J565" s="69">
        <v>0</v>
      </c>
      <c r="K565" s="41">
        <v>0</v>
      </c>
      <c r="L565" s="68">
        <v>25</v>
      </c>
      <c r="M565" s="82">
        <v>10</v>
      </c>
      <c r="N565" s="41">
        <f t="shared" si="37"/>
        <v>0</v>
      </c>
      <c r="O565" s="67">
        <f t="shared" si="38"/>
        <v>0</v>
      </c>
    </row>
    <row r="566" spans="1:15" ht="15" customHeight="1" x14ac:dyDescent="0.3">
      <c r="A566" s="55">
        <v>46160</v>
      </c>
      <c r="B566" s="58" t="s">
        <v>5</v>
      </c>
      <c r="C566" s="41">
        <v>9</v>
      </c>
      <c r="D566" s="57">
        <f>VLOOKUP(B566,[1]lantai9!$B:$G,6,FALSE)</f>
        <v>2500</v>
      </c>
      <c r="E566" s="57">
        <f>VLOOKUP(B566,karyawan!B:D,3,FALSE)</f>
        <v>1465</v>
      </c>
      <c r="F566" s="57" t="str">
        <f>VLOOKUP(B566,karyawan!B:E,4,FALSE)</f>
        <v>Compliance</v>
      </c>
      <c r="G566" s="42">
        <v>10</v>
      </c>
      <c r="H566" s="66">
        <f t="shared" si="35"/>
        <v>-21</v>
      </c>
      <c r="I566" s="32">
        <f t="shared" si="39"/>
        <v>13</v>
      </c>
      <c r="J566" s="69">
        <v>1</v>
      </c>
      <c r="K566" s="41">
        <v>0</v>
      </c>
      <c r="L566" s="68">
        <v>13</v>
      </c>
      <c r="M566" s="82">
        <v>9</v>
      </c>
      <c r="N566" s="41">
        <f t="shared" si="37"/>
        <v>4</v>
      </c>
      <c r="O566" s="67">
        <f t="shared" si="38"/>
        <v>10000</v>
      </c>
    </row>
    <row r="567" spans="1:15" ht="15" customHeight="1" x14ac:dyDescent="0.3">
      <c r="A567" s="55">
        <v>46160</v>
      </c>
      <c r="B567" s="58" t="s">
        <v>3</v>
      </c>
      <c r="C567" s="41">
        <v>9</v>
      </c>
      <c r="D567" s="57">
        <f>VLOOKUP(B567,[1]lantai9!$B:$G,6,FALSE)</f>
        <v>10000</v>
      </c>
      <c r="E567" s="57">
        <f>VLOOKUP(B567,karyawan!B:D,3,FALSE)</f>
        <v>9200</v>
      </c>
      <c r="F567" s="57" t="str">
        <f>VLOOKUP(B567,karyawan!B:E,4,FALSE)</f>
        <v>Compliance</v>
      </c>
      <c r="G567" s="42">
        <v>15</v>
      </c>
      <c r="H567" s="66">
        <f t="shared" si="35"/>
        <v>-5</v>
      </c>
      <c r="I567" s="32">
        <f t="shared" si="39"/>
        <v>13</v>
      </c>
      <c r="J567" s="69">
        <v>0</v>
      </c>
      <c r="K567" s="41">
        <v>0</v>
      </c>
      <c r="L567" s="68">
        <v>15</v>
      </c>
      <c r="M567" s="82">
        <v>15</v>
      </c>
      <c r="N567" s="41">
        <f t="shared" si="37"/>
        <v>0</v>
      </c>
      <c r="O567" s="67">
        <f t="shared" si="38"/>
        <v>0</v>
      </c>
    </row>
    <row r="568" spans="1:15" ht="15" customHeight="1" x14ac:dyDescent="0.3">
      <c r="A568" s="55">
        <v>46160</v>
      </c>
      <c r="B568" s="58" t="s">
        <v>18</v>
      </c>
      <c r="C568" s="41">
        <v>9</v>
      </c>
      <c r="D568" s="57">
        <f>VLOOKUP(B568,[1]lantai9!$B:$G,6,FALSE)</f>
        <v>15000</v>
      </c>
      <c r="E568" s="57">
        <f>VLOOKUP(B568,karyawan!B:D,3,FALSE)</f>
        <v>13807</v>
      </c>
      <c r="F568" s="57" t="str">
        <f>VLOOKUP(B568,karyawan!B:E,4,FALSE)</f>
        <v>Compliance</v>
      </c>
      <c r="G568" s="42">
        <v>10</v>
      </c>
      <c r="H568" s="66">
        <f t="shared" si="35"/>
        <v>0</v>
      </c>
      <c r="I568" s="32">
        <f t="shared" si="39"/>
        <v>0</v>
      </c>
      <c r="J568" s="69">
        <v>0</v>
      </c>
      <c r="K568" s="41">
        <v>0</v>
      </c>
      <c r="L568" s="68">
        <v>6</v>
      </c>
      <c r="M568" s="83">
        <v>0</v>
      </c>
      <c r="N568" s="41">
        <f t="shared" si="37"/>
        <v>0</v>
      </c>
      <c r="O568" s="67">
        <f t="shared" si="38"/>
        <v>0</v>
      </c>
    </row>
    <row r="569" spans="1:15" ht="15" customHeight="1" x14ac:dyDescent="0.3">
      <c r="A569" s="55">
        <v>46160</v>
      </c>
      <c r="B569" s="58" t="s">
        <v>10</v>
      </c>
      <c r="C569" s="41">
        <v>9</v>
      </c>
      <c r="D569" s="57">
        <f>VLOOKUP(B569,[1]lantai9!$B:$G,6,FALSE)</f>
        <v>23000</v>
      </c>
      <c r="E569" s="57">
        <f>VLOOKUP(B569,karyawan!B:D,3,FALSE)</f>
        <v>21760</v>
      </c>
      <c r="F569" s="57" t="str">
        <f>VLOOKUP(B569,karyawan!B:E,4,FALSE)</f>
        <v>Compliance</v>
      </c>
      <c r="G569" s="42">
        <v>7</v>
      </c>
      <c r="H569" s="66">
        <f t="shared" si="35"/>
        <v>0</v>
      </c>
      <c r="I569" s="32">
        <f t="shared" si="39"/>
        <v>0</v>
      </c>
      <c r="J569" s="69">
        <v>0</v>
      </c>
      <c r="K569" s="41">
        <v>0</v>
      </c>
      <c r="L569" s="68">
        <v>0</v>
      </c>
      <c r="M569" s="83">
        <v>0</v>
      </c>
      <c r="N569" s="41">
        <f t="shared" si="37"/>
        <v>0</v>
      </c>
      <c r="O569" s="67">
        <f t="shared" si="38"/>
        <v>0</v>
      </c>
    </row>
    <row r="570" spans="1:15" ht="15" customHeight="1" x14ac:dyDescent="0.3">
      <c r="A570" s="55">
        <v>46160</v>
      </c>
      <c r="B570" s="56" t="s">
        <v>23</v>
      </c>
      <c r="C570" s="41">
        <v>9</v>
      </c>
      <c r="D570" s="57">
        <f>VLOOKUP(B570,[1]lantai9!$B:$G,6,FALSE)</f>
        <v>11000</v>
      </c>
      <c r="E570" s="57">
        <f>VLOOKUP(B570,karyawan!B:D,3,FALSE)</f>
        <v>10000</v>
      </c>
      <c r="F570" s="57" t="str">
        <f>VLOOKUP(B570,karyawan!B:E,4,FALSE)</f>
        <v>Compliance</v>
      </c>
      <c r="G570" s="42">
        <v>8</v>
      </c>
      <c r="H570" s="66">
        <f t="shared" si="35"/>
        <v>-6</v>
      </c>
      <c r="I570" s="32">
        <f t="shared" si="39"/>
        <v>2</v>
      </c>
      <c r="J570" s="69">
        <v>0</v>
      </c>
      <c r="K570" s="41">
        <v>0</v>
      </c>
      <c r="L570" s="68">
        <v>9</v>
      </c>
      <c r="M570" s="82">
        <v>5</v>
      </c>
      <c r="N570" s="41">
        <f t="shared" si="37"/>
        <v>0</v>
      </c>
      <c r="O570" s="67">
        <f t="shared" si="38"/>
        <v>0</v>
      </c>
    </row>
    <row r="571" spans="1:15" ht="15" customHeight="1" x14ac:dyDescent="0.3">
      <c r="A571" s="55">
        <v>46160</v>
      </c>
      <c r="B571" s="56" t="s">
        <v>24</v>
      </c>
      <c r="C571" s="41">
        <v>9</v>
      </c>
      <c r="D571" s="57">
        <f>VLOOKUP(B571,[1]lantai9!$B:$G,6,FALSE)</f>
        <v>14500</v>
      </c>
      <c r="E571" s="57">
        <f>VLOOKUP(B571,karyawan!B:D,3,FALSE)</f>
        <v>13500</v>
      </c>
      <c r="F571" s="57" t="str">
        <f>VLOOKUP(B571,karyawan!B:E,4,FALSE)</f>
        <v>Compliance</v>
      </c>
      <c r="G571" s="42">
        <v>6</v>
      </c>
      <c r="H571" s="66">
        <f t="shared" si="35"/>
        <v>-13</v>
      </c>
      <c r="I571" s="32">
        <f t="shared" si="39"/>
        <v>6</v>
      </c>
      <c r="J571" s="69">
        <v>1</v>
      </c>
      <c r="K571" s="41">
        <v>0</v>
      </c>
      <c r="L571" s="68">
        <v>6</v>
      </c>
      <c r="M571" s="83">
        <v>5</v>
      </c>
      <c r="N571" s="41">
        <f t="shared" si="37"/>
        <v>1</v>
      </c>
      <c r="O571" s="67">
        <f t="shared" si="38"/>
        <v>14500</v>
      </c>
    </row>
    <row r="572" spans="1:15" ht="15" customHeight="1" x14ac:dyDescent="0.3">
      <c r="A572" s="55">
        <v>46160</v>
      </c>
      <c r="B572" s="56" t="s">
        <v>15</v>
      </c>
      <c r="C572" s="41">
        <v>9</v>
      </c>
      <c r="D572" s="57">
        <f>VLOOKUP(B572,[1]lantai9!$B:$G,6,FALSE)</f>
        <v>3500</v>
      </c>
      <c r="E572" s="57">
        <f>VLOOKUP(B572,karyawan!B:D,3,FALSE)</f>
        <v>2500</v>
      </c>
      <c r="F572" s="57" t="str">
        <f>VLOOKUP(B572,karyawan!B:E,4,FALSE)</f>
        <v>Compliance</v>
      </c>
      <c r="G572" s="42">
        <v>20</v>
      </c>
      <c r="H572" s="66">
        <f t="shared" si="35"/>
        <v>0</v>
      </c>
      <c r="I572" s="32">
        <f t="shared" si="39"/>
        <v>10</v>
      </c>
      <c r="J572" s="69">
        <v>0</v>
      </c>
      <c r="K572" s="41">
        <v>0</v>
      </c>
      <c r="L572" s="68">
        <v>10</v>
      </c>
      <c r="M572" s="82">
        <v>11</v>
      </c>
      <c r="N572" s="41">
        <f t="shared" si="37"/>
        <v>0</v>
      </c>
      <c r="O572" s="67">
        <f t="shared" si="38"/>
        <v>0</v>
      </c>
    </row>
    <row r="573" spans="1:15" ht="15" customHeight="1" x14ac:dyDescent="0.3">
      <c r="A573" s="55">
        <v>46160</v>
      </c>
      <c r="B573" s="56" t="s">
        <v>22</v>
      </c>
      <c r="C573" s="41">
        <v>9</v>
      </c>
      <c r="D573" s="57">
        <f>VLOOKUP(B573,[1]lantai9!$B:$G,6,FALSE)</f>
        <v>5500</v>
      </c>
      <c r="E573" s="57">
        <f>VLOOKUP(B573,karyawan!B:D,3,FALSE)</f>
        <v>4500</v>
      </c>
      <c r="F573" s="57" t="str">
        <f>VLOOKUP(B573,karyawan!B:E,4,FALSE)</f>
        <v>Compliance</v>
      </c>
      <c r="G573" s="42">
        <v>8</v>
      </c>
      <c r="H573" s="66">
        <f t="shared" si="35"/>
        <v>-2</v>
      </c>
      <c r="I573" s="32">
        <f t="shared" si="39"/>
        <v>10</v>
      </c>
      <c r="J573" s="69">
        <v>3</v>
      </c>
      <c r="K573" s="41">
        <v>0</v>
      </c>
      <c r="L573" s="68">
        <v>7</v>
      </c>
      <c r="M573" s="82">
        <v>5</v>
      </c>
      <c r="N573" s="41">
        <f t="shared" si="37"/>
        <v>5</v>
      </c>
      <c r="O573" s="67">
        <f t="shared" si="38"/>
        <v>27500</v>
      </c>
    </row>
    <row r="574" spans="1:15" ht="15" customHeight="1" x14ac:dyDescent="0.3">
      <c r="A574" s="55">
        <v>46160</v>
      </c>
      <c r="B574" s="56" t="s">
        <v>25</v>
      </c>
      <c r="C574" s="41">
        <v>9</v>
      </c>
      <c r="D574" s="57">
        <f>VLOOKUP(B574,[1]lantai9!$B:$G,6,FALSE)</f>
        <v>9000</v>
      </c>
      <c r="E574" s="57">
        <f>VLOOKUP(B574,karyawan!B:D,3,FALSE)</f>
        <v>8000</v>
      </c>
      <c r="F574" s="57" t="str">
        <f>VLOOKUP(B574,karyawan!B:E,4,FALSE)</f>
        <v>Compliance</v>
      </c>
      <c r="G574" s="42">
        <v>3</v>
      </c>
      <c r="H574" s="66">
        <f t="shared" si="35"/>
        <v>0</v>
      </c>
      <c r="I574" s="32">
        <f t="shared" si="39"/>
        <v>0</v>
      </c>
      <c r="J574" s="69">
        <v>0</v>
      </c>
      <c r="K574" s="41">
        <v>0</v>
      </c>
      <c r="L574" s="68">
        <v>1</v>
      </c>
      <c r="M574" s="83">
        <v>0</v>
      </c>
      <c r="N574" s="41">
        <f t="shared" si="37"/>
        <v>0</v>
      </c>
      <c r="O574" s="67">
        <f t="shared" si="38"/>
        <v>0</v>
      </c>
    </row>
    <row r="575" spans="1:15" ht="15" customHeight="1" x14ac:dyDescent="0.3">
      <c r="A575" s="55">
        <v>46161</v>
      </c>
      <c r="B575" s="58" t="s">
        <v>4</v>
      </c>
      <c r="C575" s="41">
        <v>3</v>
      </c>
      <c r="D575" s="57">
        <f>VLOOKUP(B575,[1]lantai9!$B:$G,6,FALSE)</f>
        <v>35000</v>
      </c>
      <c r="E575" s="57">
        <f>VLOOKUP(B575,karyawan!B:D,3,FALSE)</f>
        <v>34000</v>
      </c>
      <c r="F575" s="57" t="str">
        <f>VLOOKUP(B575,karyawan!B:E,4,FALSE)</f>
        <v>Florida</v>
      </c>
      <c r="G575" s="42">
        <v>5</v>
      </c>
      <c r="H575" s="66">
        <f t="shared" ref="H575:H606" si="40">H554-J554</f>
        <v>-10</v>
      </c>
      <c r="I575" s="84">
        <v>5</v>
      </c>
      <c r="K575" s="41">
        <v>0</v>
      </c>
      <c r="M575" s="87">
        <v>5</v>
      </c>
      <c r="N575" s="41">
        <f t="shared" si="37"/>
        <v>0</v>
      </c>
      <c r="O575" s="67">
        <f t="shared" si="38"/>
        <v>0</v>
      </c>
    </row>
    <row r="576" spans="1:15" ht="15" customHeight="1" x14ac:dyDescent="0.3">
      <c r="A576" s="55">
        <v>46161</v>
      </c>
      <c r="B576" s="58" t="s">
        <v>13</v>
      </c>
      <c r="C576" s="41">
        <v>3</v>
      </c>
      <c r="D576" s="57">
        <f>VLOOKUP(B576,[1]lantai9!$B:$G,6,FALSE)</f>
        <v>23000</v>
      </c>
      <c r="E576" s="57">
        <f>VLOOKUP(B576,karyawan!B:D,3,FALSE)</f>
        <v>22000</v>
      </c>
      <c r="F576" s="57" t="str">
        <f>VLOOKUP(B576,karyawan!B:E,4,FALSE)</f>
        <v>Yohannes</v>
      </c>
      <c r="G576" s="42">
        <v>6</v>
      </c>
      <c r="H576" s="66">
        <f t="shared" si="40"/>
        <v>-11</v>
      </c>
      <c r="I576" s="85">
        <v>4</v>
      </c>
      <c r="K576" s="41">
        <v>0</v>
      </c>
      <c r="M576" s="88">
        <v>4</v>
      </c>
      <c r="N576" s="41">
        <f t="shared" si="37"/>
        <v>0</v>
      </c>
      <c r="O576" s="67">
        <f t="shared" si="38"/>
        <v>0</v>
      </c>
    </row>
    <row r="577" spans="1:15" ht="15" customHeight="1" x14ac:dyDescent="0.3">
      <c r="A577" s="55">
        <v>46161</v>
      </c>
      <c r="B577" s="58" t="s">
        <v>12</v>
      </c>
      <c r="C577" s="41">
        <v>3</v>
      </c>
      <c r="D577" s="57">
        <f>VLOOKUP(B577,[1]lantai9!$B:$G,6,FALSE)</f>
        <v>21000</v>
      </c>
      <c r="E577" s="57">
        <f>VLOOKUP(B577,karyawan!B:D,3,FALSE)</f>
        <v>20000</v>
      </c>
      <c r="F577" s="57" t="str">
        <f>VLOOKUP(B577,karyawan!B:E,4,FALSE)</f>
        <v>Damaz</v>
      </c>
      <c r="G577" s="42">
        <v>2</v>
      </c>
      <c r="H577" s="66">
        <f t="shared" si="40"/>
        <v>-2</v>
      </c>
      <c r="I577" s="85">
        <v>1</v>
      </c>
      <c r="K577" s="41">
        <v>0</v>
      </c>
      <c r="M577" s="88">
        <v>1</v>
      </c>
      <c r="N577" s="41">
        <f t="shared" si="37"/>
        <v>0</v>
      </c>
      <c r="O577" s="67">
        <f t="shared" si="38"/>
        <v>0</v>
      </c>
    </row>
    <row r="578" spans="1:15" ht="15" customHeight="1" x14ac:dyDescent="0.3">
      <c r="A578" s="55">
        <v>46161</v>
      </c>
      <c r="B578" s="58" t="s">
        <v>11</v>
      </c>
      <c r="C578" s="41">
        <v>3</v>
      </c>
      <c r="D578" s="57">
        <f>VLOOKUP(B578,[1]lantai9!$B:$G,6,FALSE)</f>
        <v>36000</v>
      </c>
      <c r="E578" s="57">
        <f>VLOOKUP(B578,karyawan!B:D,3,FALSE)</f>
        <v>35000</v>
      </c>
      <c r="F578" s="57" t="str">
        <f>VLOOKUP(B578,karyawan!B:E,4,FALSE)</f>
        <v>Damaz</v>
      </c>
      <c r="G578" s="42">
        <v>3</v>
      </c>
      <c r="H578" s="66">
        <f t="shared" si="40"/>
        <v>-1</v>
      </c>
      <c r="I578" s="85">
        <v>2</v>
      </c>
      <c r="K578" s="41">
        <v>0</v>
      </c>
      <c r="M578" s="88">
        <v>2</v>
      </c>
      <c r="N578" s="41">
        <f t="shared" ref="N578:N637" si="41">MAX($I578-$M578,0)</f>
        <v>0</v>
      </c>
      <c r="O578" s="67">
        <f t="shared" ref="O578:O641" si="42">N578*D578</f>
        <v>0</v>
      </c>
    </row>
    <row r="579" spans="1:15" ht="15" customHeight="1" x14ac:dyDescent="0.3">
      <c r="A579" s="55">
        <v>46161</v>
      </c>
      <c r="B579" s="58" t="s">
        <v>14</v>
      </c>
      <c r="C579" s="41">
        <v>3</v>
      </c>
      <c r="D579" s="57">
        <f>VLOOKUP(B579,[1]lantai9!$B:$G,6,FALSE)</f>
        <v>23000</v>
      </c>
      <c r="E579" s="57">
        <f>VLOOKUP(B579,karyawan!B:D,3,FALSE)</f>
        <v>22000</v>
      </c>
      <c r="F579" s="57" t="str">
        <f>VLOOKUP(B579,karyawan!B:E,4,FALSE)</f>
        <v>Vale</v>
      </c>
      <c r="G579" s="42">
        <v>5</v>
      </c>
      <c r="H579" s="66">
        <f t="shared" si="40"/>
        <v>-4</v>
      </c>
      <c r="I579" s="85">
        <v>1</v>
      </c>
      <c r="K579" s="41">
        <v>0</v>
      </c>
      <c r="M579" s="88">
        <v>1</v>
      </c>
      <c r="N579" s="41">
        <f t="shared" si="41"/>
        <v>0</v>
      </c>
      <c r="O579" s="67">
        <f t="shared" si="42"/>
        <v>0</v>
      </c>
    </row>
    <row r="580" spans="1:15" ht="15" customHeight="1" x14ac:dyDescent="0.3">
      <c r="A580" s="55">
        <v>46161</v>
      </c>
      <c r="B580" s="58" t="s">
        <v>7</v>
      </c>
      <c r="C580" s="41">
        <v>3</v>
      </c>
      <c r="D580" s="57">
        <f>VLOOKUP(B580,[1]lantai9!$B:$G,6,FALSE)</f>
        <v>15000</v>
      </c>
      <c r="E580" s="57">
        <f>VLOOKUP(B580,karyawan!B:D,3,FALSE)</f>
        <v>14000</v>
      </c>
      <c r="F580" s="57" t="str">
        <f>VLOOKUP(B580,karyawan!B:E,4,FALSE)</f>
        <v>Desy</v>
      </c>
      <c r="G580" s="42">
        <v>6</v>
      </c>
      <c r="H580" s="66">
        <f t="shared" si="40"/>
        <v>-14</v>
      </c>
      <c r="I580" s="85">
        <v>4</v>
      </c>
      <c r="K580" s="41">
        <v>0</v>
      </c>
      <c r="M580" s="88">
        <v>4</v>
      </c>
      <c r="N580" s="41">
        <f t="shared" si="41"/>
        <v>0</v>
      </c>
      <c r="O580" s="67">
        <f t="shared" si="42"/>
        <v>0</v>
      </c>
    </row>
    <row r="581" spans="1:15" ht="15" customHeight="1" x14ac:dyDescent="0.3">
      <c r="A581" s="55">
        <v>46161</v>
      </c>
      <c r="B581" s="58" t="s">
        <v>8</v>
      </c>
      <c r="C581" s="41">
        <v>3</v>
      </c>
      <c r="D581" s="57">
        <f>VLOOKUP(B581,[1]lantai9!$B:$G,6,FALSE)</f>
        <v>18000</v>
      </c>
      <c r="E581" s="57">
        <f>VLOOKUP(B581,karyawan!B:D,3,FALSE)</f>
        <v>17000</v>
      </c>
      <c r="F581" s="57" t="str">
        <f>VLOOKUP(B581,karyawan!B:E,4,FALSE)</f>
        <v>Geby</v>
      </c>
      <c r="G581" s="42">
        <v>4</v>
      </c>
      <c r="H581" s="66">
        <f t="shared" si="40"/>
        <v>-1</v>
      </c>
      <c r="I581" s="85">
        <v>4</v>
      </c>
      <c r="K581" s="41">
        <v>0</v>
      </c>
      <c r="M581" s="88">
        <v>4</v>
      </c>
      <c r="N581" s="41">
        <f t="shared" si="41"/>
        <v>0</v>
      </c>
      <c r="O581" s="67">
        <f t="shared" si="42"/>
        <v>0</v>
      </c>
    </row>
    <row r="582" spans="1:15" ht="15" customHeight="1" x14ac:dyDescent="0.3">
      <c r="A582" s="55">
        <v>46161</v>
      </c>
      <c r="B582" s="58" t="s">
        <v>9</v>
      </c>
      <c r="C582" s="41">
        <v>3</v>
      </c>
      <c r="D582" s="57">
        <f>VLOOKUP(B582,[1]lantai9!$B:$G,6,FALSE)</f>
        <v>21000</v>
      </c>
      <c r="E582" s="57">
        <f>VLOOKUP(B582,karyawan!B:D,3,FALSE)</f>
        <v>20000</v>
      </c>
      <c r="F582" s="57" t="str">
        <f>VLOOKUP(B582,karyawan!B:E,4,FALSE)</f>
        <v>Geby</v>
      </c>
      <c r="G582" s="42">
        <v>3</v>
      </c>
      <c r="H582" s="66">
        <f t="shared" si="40"/>
        <v>-8</v>
      </c>
      <c r="I582" s="85">
        <v>3</v>
      </c>
      <c r="K582" s="41">
        <v>0</v>
      </c>
      <c r="M582" s="88">
        <v>3</v>
      </c>
      <c r="N582" s="41">
        <f t="shared" si="41"/>
        <v>0</v>
      </c>
      <c r="O582" s="67">
        <f t="shared" si="42"/>
        <v>0</v>
      </c>
    </row>
    <row r="583" spans="1:15" ht="15" customHeight="1" x14ac:dyDescent="0.3">
      <c r="A583" s="55">
        <v>46161</v>
      </c>
      <c r="B583" s="58" t="s">
        <v>20</v>
      </c>
      <c r="C583" s="41">
        <v>3</v>
      </c>
      <c r="D583" s="57">
        <f>VLOOKUP(B583,[1]lantai9!$B:$G,6,FALSE)</f>
        <v>35000</v>
      </c>
      <c r="E583" s="57">
        <f>VLOOKUP(B583,karyawan!B:D,3,FALSE)</f>
        <v>34000</v>
      </c>
      <c r="F583" s="57" t="str">
        <f>VLOOKUP(B583,karyawan!B:E,4,FALSE)</f>
        <v>Sherly</v>
      </c>
      <c r="G583" s="42">
        <v>2</v>
      </c>
      <c r="H583" s="66">
        <f t="shared" si="40"/>
        <v>-10</v>
      </c>
      <c r="I583" s="85">
        <v>2</v>
      </c>
      <c r="K583" s="41">
        <v>0</v>
      </c>
      <c r="M583" s="88">
        <v>2</v>
      </c>
      <c r="N583" s="41">
        <f t="shared" si="41"/>
        <v>0</v>
      </c>
      <c r="O583" s="67">
        <f t="shared" si="42"/>
        <v>0</v>
      </c>
    </row>
    <row r="584" spans="1:15" ht="15" customHeight="1" x14ac:dyDescent="0.3">
      <c r="A584" s="55">
        <v>46161</v>
      </c>
      <c r="B584" s="58" t="s">
        <v>21</v>
      </c>
      <c r="C584" s="41">
        <v>3</v>
      </c>
      <c r="D584" s="57">
        <f>VLOOKUP(B584,[1]lantai9!$B:$G,6,FALSE)</f>
        <v>40000</v>
      </c>
      <c r="E584" s="57">
        <f>VLOOKUP(B584,karyawan!B:D,3,FALSE)</f>
        <v>39000</v>
      </c>
      <c r="F584" s="57" t="str">
        <f>VLOOKUP(B584,karyawan!B:E,4,FALSE)</f>
        <v>Sherly</v>
      </c>
      <c r="G584" s="42">
        <v>4</v>
      </c>
      <c r="H584" s="66">
        <f t="shared" si="40"/>
        <v>-5</v>
      </c>
      <c r="I584" s="85">
        <v>4</v>
      </c>
      <c r="K584" s="41">
        <v>0</v>
      </c>
      <c r="M584" s="88">
        <v>4</v>
      </c>
      <c r="N584" s="41">
        <f t="shared" si="41"/>
        <v>0</v>
      </c>
      <c r="O584" s="67">
        <f t="shared" si="42"/>
        <v>0</v>
      </c>
    </row>
    <row r="585" spans="1:15" ht="15" customHeight="1" x14ac:dyDescent="0.3">
      <c r="A585" s="55">
        <v>46161</v>
      </c>
      <c r="B585" s="58" t="s">
        <v>19</v>
      </c>
      <c r="C585" s="41">
        <v>3</v>
      </c>
      <c r="D585" s="57">
        <f>VLOOKUP(B585,[1]lantai9!$B:$G,6,FALSE)</f>
        <v>2500</v>
      </c>
      <c r="E585" s="57">
        <f>VLOOKUP(B585,karyawan!B:D,3,FALSE)</f>
        <v>1480</v>
      </c>
      <c r="F585" s="57" t="str">
        <f>VLOOKUP(B585,karyawan!B:E,4,FALSE)</f>
        <v>Compliance</v>
      </c>
      <c r="G585" s="42">
        <v>12</v>
      </c>
      <c r="H585" s="66">
        <f t="shared" si="40"/>
        <v>-12</v>
      </c>
      <c r="I585" s="85">
        <v>2</v>
      </c>
      <c r="K585" s="41">
        <v>0</v>
      </c>
      <c r="M585" s="88">
        <v>2</v>
      </c>
      <c r="N585" s="41">
        <f t="shared" si="41"/>
        <v>0</v>
      </c>
      <c r="O585" s="67">
        <f t="shared" si="42"/>
        <v>0</v>
      </c>
    </row>
    <row r="586" spans="1:15" ht="15" customHeight="1" x14ac:dyDescent="0.3">
      <c r="A586" s="55">
        <v>46161</v>
      </c>
      <c r="B586" s="58" t="s">
        <v>17</v>
      </c>
      <c r="C586" s="41">
        <v>3</v>
      </c>
      <c r="D586" s="57">
        <f>VLOOKUP(B586,[1]lantai9!$B:$G,6,FALSE)</f>
        <v>2000</v>
      </c>
      <c r="E586" s="57">
        <f>VLOOKUP(B586,karyawan!B:D,3,FALSE)</f>
        <v>1074</v>
      </c>
      <c r="F586" s="57" t="str">
        <f>VLOOKUP(B586,karyawan!B:E,4,FALSE)</f>
        <v>Compliance</v>
      </c>
      <c r="G586" s="42">
        <v>10</v>
      </c>
      <c r="H586" s="66">
        <f t="shared" si="40"/>
        <v>-25</v>
      </c>
      <c r="I586" s="85">
        <v>10</v>
      </c>
      <c r="K586" s="41">
        <v>0</v>
      </c>
      <c r="M586" s="88">
        <v>10</v>
      </c>
      <c r="N586" s="41">
        <f t="shared" si="41"/>
        <v>0</v>
      </c>
      <c r="O586" s="67">
        <f t="shared" si="42"/>
        <v>0</v>
      </c>
    </row>
    <row r="587" spans="1:15" ht="15" customHeight="1" x14ac:dyDescent="0.3">
      <c r="A587" s="55">
        <v>46161</v>
      </c>
      <c r="B587" s="58" t="s">
        <v>5</v>
      </c>
      <c r="C587" s="41">
        <v>3</v>
      </c>
      <c r="D587" s="57">
        <f>VLOOKUP(B587,[1]lantai9!$B:$G,6,FALSE)</f>
        <v>2500</v>
      </c>
      <c r="E587" s="57">
        <f>VLOOKUP(B587,karyawan!B:D,3,FALSE)</f>
        <v>1465</v>
      </c>
      <c r="F587" s="57" t="str">
        <f>VLOOKUP(B587,karyawan!B:E,4,FALSE)</f>
        <v>Compliance</v>
      </c>
      <c r="G587" s="42">
        <v>10</v>
      </c>
      <c r="H587" s="66">
        <f t="shared" si="40"/>
        <v>-22</v>
      </c>
      <c r="I587" s="85">
        <v>10</v>
      </c>
      <c r="K587" s="41">
        <v>0</v>
      </c>
      <c r="M587" s="88">
        <v>10</v>
      </c>
      <c r="N587" s="41">
        <f t="shared" si="41"/>
        <v>0</v>
      </c>
      <c r="O587" s="67">
        <f t="shared" si="42"/>
        <v>0</v>
      </c>
    </row>
    <row r="588" spans="1:15" ht="15" customHeight="1" x14ac:dyDescent="0.3">
      <c r="A588" s="55">
        <v>46161</v>
      </c>
      <c r="B588" s="58" t="s">
        <v>3</v>
      </c>
      <c r="C588" s="41">
        <v>3</v>
      </c>
      <c r="D588" s="57">
        <f>VLOOKUP(B588,[1]lantai9!$B:$G,6,FALSE)</f>
        <v>10000</v>
      </c>
      <c r="E588" s="57">
        <f>VLOOKUP(B588,karyawan!B:D,3,FALSE)</f>
        <v>9200</v>
      </c>
      <c r="F588" s="57" t="str">
        <f>VLOOKUP(B588,karyawan!B:E,4,FALSE)</f>
        <v>Compliance</v>
      </c>
      <c r="G588" s="42">
        <v>15</v>
      </c>
      <c r="H588" s="66">
        <f t="shared" si="40"/>
        <v>-5</v>
      </c>
      <c r="I588" s="85">
        <v>15</v>
      </c>
      <c r="K588" s="41">
        <v>0</v>
      </c>
      <c r="M588" s="88">
        <v>15</v>
      </c>
      <c r="N588" s="41">
        <f t="shared" si="41"/>
        <v>0</v>
      </c>
      <c r="O588" s="67">
        <f t="shared" si="42"/>
        <v>0</v>
      </c>
    </row>
    <row r="589" spans="1:15" ht="15" customHeight="1" x14ac:dyDescent="0.3">
      <c r="A589" s="55">
        <v>46161</v>
      </c>
      <c r="B589" s="58" t="s">
        <v>18</v>
      </c>
      <c r="C589" s="41">
        <v>3</v>
      </c>
      <c r="D589" s="57">
        <f>VLOOKUP(B589,[1]lantai9!$B:$G,6,FALSE)</f>
        <v>15000</v>
      </c>
      <c r="E589" s="57">
        <f>VLOOKUP(B589,karyawan!B:D,3,FALSE)</f>
        <v>13807</v>
      </c>
      <c r="F589" s="57" t="str">
        <f>VLOOKUP(B589,karyawan!B:E,4,FALSE)</f>
        <v>Compliance</v>
      </c>
      <c r="G589" s="42">
        <v>10</v>
      </c>
      <c r="H589" s="66">
        <f t="shared" si="40"/>
        <v>0</v>
      </c>
      <c r="I589" s="85">
        <v>10</v>
      </c>
      <c r="K589" s="41">
        <v>0</v>
      </c>
      <c r="M589" s="88">
        <v>10</v>
      </c>
      <c r="N589" s="41">
        <f t="shared" si="41"/>
        <v>0</v>
      </c>
      <c r="O589" s="67">
        <f t="shared" si="42"/>
        <v>0</v>
      </c>
    </row>
    <row r="590" spans="1:15" ht="15" customHeight="1" x14ac:dyDescent="0.3">
      <c r="A590" s="55">
        <v>46161</v>
      </c>
      <c r="B590" s="58" t="s">
        <v>10</v>
      </c>
      <c r="C590" s="41">
        <v>3</v>
      </c>
      <c r="D590" s="57">
        <f>VLOOKUP(B590,[1]lantai9!$B:$G,6,FALSE)</f>
        <v>23000</v>
      </c>
      <c r="E590" s="57">
        <f>VLOOKUP(B590,karyawan!B:D,3,FALSE)</f>
        <v>21760</v>
      </c>
      <c r="F590" s="57" t="str">
        <f>VLOOKUP(B590,karyawan!B:E,4,FALSE)</f>
        <v>Compliance</v>
      </c>
      <c r="G590" s="42">
        <v>7</v>
      </c>
      <c r="H590" s="66">
        <f t="shared" si="40"/>
        <v>0</v>
      </c>
      <c r="I590" s="85">
        <v>6</v>
      </c>
      <c r="K590" s="41">
        <v>0</v>
      </c>
      <c r="M590" s="88">
        <v>6</v>
      </c>
      <c r="N590" s="41">
        <f t="shared" si="41"/>
        <v>0</v>
      </c>
      <c r="O590" s="67">
        <f t="shared" si="42"/>
        <v>0</v>
      </c>
    </row>
    <row r="591" spans="1:15" ht="15" customHeight="1" x14ac:dyDescent="0.3">
      <c r="A591" s="55">
        <v>46161</v>
      </c>
      <c r="B591" s="56" t="s">
        <v>23</v>
      </c>
      <c r="C591" s="41">
        <v>3</v>
      </c>
      <c r="D591" s="57">
        <f>VLOOKUP(B591,[1]lantai9!$B:$G,6,FALSE)</f>
        <v>11000</v>
      </c>
      <c r="E591" s="57">
        <f>VLOOKUP(B591,karyawan!B:D,3,FALSE)</f>
        <v>10000</v>
      </c>
      <c r="F591" s="57" t="str">
        <f>VLOOKUP(B591,karyawan!B:E,4,FALSE)</f>
        <v>Compliance</v>
      </c>
      <c r="G591" s="42">
        <v>8</v>
      </c>
      <c r="H591" s="66">
        <f t="shared" si="40"/>
        <v>-6</v>
      </c>
      <c r="I591" s="85">
        <v>7</v>
      </c>
      <c r="K591" s="41">
        <v>0</v>
      </c>
      <c r="M591" s="88">
        <v>7</v>
      </c>
      <c r="N591" s="41">
        <f t="shared" si="41"/>
        <v>0</v>
      </c>
      <c r="O591" s="67">
        <f t="shared" si="42"/>
        <v>0</v>
      </c>
    </row>
    <row r="592" spans="1:15" ht="15" customHeight="1" x14ac:dyDescent="0.3">
      <c r="A592" s="55">
        <v>46161</v>
      </c>
      <c r="B592" s="56" t="s">
        <v>24</v>
      </c>
      <c r="C592" s="41">
        <v>3</v>
      </c>
      <c r="D592" s="57">
        <f>VLOOKUP(B592,[1]lantai9!$B:$G,6,FALSE)</f>
        <v>14500</v>
      </c>
      <c r="E592" s="57">
        <f>VLOOKUP(B592,karyawan!B:D,3,FALSE)</f>
        <v>13500</v>
      </c>
      <c r="F592" s="57" t="str">
        <f>VLOOKUP(B592,karyawan!B:E,4,FALSE)</f>
        <v>Compliance</v>
      </c>
      <c r="G592" s="42">
        <v>6</v>
      </c>
      <c r="H592" s="66">
        <f t="shared" si="40"/>
        <v>-14</v>
      </c>
      <c r="I592" s="85">
        <v>6</v>
      </c>
      <c r="K592" s="41">
        <v>0</v>
      </c>
      <c r="M592" s="88">
        <v>6</v>
      </c>
      <c r="N592" s="41">
        <f t="shared" si="41"/>
        <v>0</v>
      </c>
      <c r="O592" s="67">
        <f t="shared" si="42"/>
        <v>0</v>
      </c>
    </row>
    <row r="593" spans="1:15" ht="15" customHeight="1" x14ac:dyDescent="0.3">
      <c r="A593" s="55">
        <v>46161</v>
      </c>
      <c r="B593" s="56" t="s">
        <v>15</v>
      </c>
      <c r="C593" s="41">
        <v>3</v>
      </c>
      <c r="D593" s="57">
        <f>VLOOKUP(B593,[1]lantai9!$B:$G,6,FALSE)</f>
        <v>3500</v>
      </c>
      <c r="E593" s="57">
        <f>VLOOKUP(B593,karyawan!B:D,3,FALSE)</f>
        <v>2500</v>
      </c>
      <c r="F593" s="57" t="str">
        <f>VLOOKUP(B593,karyawan!B:E,4,FALSE)</f>
        <v>Compliance</v>
      </c>
      <c r="G593" s="42">
        <v>20</v>
      </c>
      <c r="H593" s="66">
        <f t="shared" si="40"/>
        <v>0</v>
      </c>
      <c r="I593" s="85">
        <v>5</v>
      </c>
      <c r="K593" s="41">
        <v>0</v>
      </c>
      <c r="M593" s="88">
        <v>5</v>
      </c>
      <c r="N593" s="41">
        <f t="shared" si="41"/>
        <v>0</v>
      </c>
      <c r="O593" s="67">
        <f t="shared" si="42"/>
        <v>0</v>
      </c>
    </row>
    <row r="594" spans="1:15" ht="15" customHeight="1" x14ac:dyDescent="0.3">
      <c r="A594" s="55">
        <v>46161</v>
      </c>
      <c r="B594" s="56" t="s">
        <v>22</v>
      </c>
      <c r="C594" s="41">
        <v>3</v>
      </c>
      <c r="D594" s="57">
        <f>VLOOKUP(B594,[1]lantai9!$B:$G,6,FALSE)</f>
        <v>5500</v>
      </c>
      <c r="E594" s="57">
        <f>VLOOKUP(B594,karyawan!B:D,3,FALSE)</f>
        <v>4500</v>
      </c>
      <c r="F594" s="57" t="str">
        <f>VLOOKUP(B594,karyawan!B:E,4,FALSE)</f>
        <v>Compliance</v>
      </c>
      <c r="G594" s="42">
        <v>8</v>
      </c>
      <c r="H594" s="66">
        <f t="shared" si="40"/>
        <v>-5</v>
      </c>
      <c r="I594" s="85">
        <v>8</v>
      </c>
      <c r="K594" s="41">
        <v>0</v>
      </c>
      <c r="M594" s="88">
        <v>8</v>
      </c>
      <c r="N594" s="41">
        <f t="shared" si="41"/>
        <v>0</v>
      </c>
      <c r="O594" s="67">
        <f t="shared" si="42"/>
        <v>0</v>
      </c>
    </row>
    <row r="595" spans="1:15" ht="15" customHeight="1" x14ac:dyDescent="0.3">
      <c r="A595" s="55">
        <v>46161</v>
      </c>
      <c r="B595" s="56" t="s">
        <v>25</v>
      </c>
      <c r="C595" s="41">
        <v>3</v>
      </c>
      <c r="D595" s="57">
        <f>VLOOKUP(B595,[1]lantai9!$B:$G,6,FALSE)</f>
        <v>9000</v>
      </c>
      <c r="E595" s="57">
        <f>VLOOKUP(B595,karyawan!B:D,3,FALSE)</f>
        <v>8000</v>
      </c>
      <c r="F595" s="57" t="str">
        <f>VLOOKUP(B595,karyawan!B:E,4,FALSE)</f>
        <v>Compliance</v>
      </c>
      <c r="G595" s="42">
        <v>3</v>
      </c>
      <c r="H595" s="66">
        <f t="shared" si="40"/>
        <v>0</v>
      </c>
      <c r="I595" s="85">
        <v>1</v>
      </c>
      <c r="K595" s="41">
        <v>0</v>
      </c>
      <c r="M595" s="88">
        <v>1</v>
      </c>
      <c r="N595" s="41">
        <f t="shared" si="41"/>
        <v>0</v>
      </c>
      <c r="O595" s="67">
        <f t="shared" si="42"/>
        <v>0</v>
      </c>
    </row>
    <row r="596" spans="1:15" ht="15" customHeight="1" x14ac:dyDescent="0.3">
      <c r="A596" s="55">
        <v>46161</v>
      </c>
      <c r="B596" s="58" t="s">
        <v>4</v>
      </c>
      <c r="C596" s="41">
        <v>8</v>
      </c>
      <c r="D596" s="57">
        <f>VLOOKUP(B596,[1]lantai9!$B:$G,6,FALSE)</f>
        <v>35000</v>
      </c>
      <c r="E596" s="57">
        <f>VLOOKUP(B596,karyawan!B:D,3,FALSE)</f>
        <v>34000</v>
      </c>
      <c r="F596" s="57" t="str">
        <f>VLOOKUP(B596,karyawan!B:E,4,FALSE)</f>
        <v>Florida</v>
      </c>
      <c r="G596" s="42">
        <v>5</v>
      </c>
      <c r="H596" s="66">
        <f t="shared" si="40"/>
        <v>-10</v>
      </c>
      <c r="I596" s="85">
        <v>5</v>
      </c>
      <c r="K596" s="41">
        <v>0</v>
      </c>
      <c r="M596" s="88">
        <v>5</v>
      </c>
      <c r="N596" s="41">
        <f t="shared" si="41"/>
        <v>0</v>
      </c>
      <c r="O596" s="67">
        <f t="shared" si="42"/>
        <v>0</v>
      </c>
    </row>
    <row r="597" spans="1:15" ht="15" customHeight="1" x14ac:dyDescent="0.3">
      <c r="A597" s="55">
        <v>46161</v>
      </c>
      <c r="B597" s="58" t="s">
        <v>13</v>
      </c>
      <c r="C597" s="41">
        <v>8</v>
      </c>
      <c r="D597" s="57">
        <f>VLOOKUP(B597,[1]lantai9!$B:$G,6,FALSE)</f>
        <v>23000</v>
      </c>
      <c r="E597" s="57">
        <f>VLOOKUP(B597,karyawan!B:D,3,FALSE)</f>
        <v>22000</v>
      </c>
      <c r="F597" s="57" t="str">
        <f>VLOOKUP(B597,karyawan!B:E,4,FALSE)</f>
        <v>Yohannes</v>
      </c>
      <c r="G597" s="42">
        <v>6</v>
      </c>
      <c r="H597" s="66">
        <f t="shared" si="40"/>
        <v>-11</v>
      </c>
      <c r="I597" s="85">
        <v>6</v>
      </c>
      <c r="K597" s="41">
        <v>0</v>
      </c>
      <c r="M597" s="88">
        <v>6</v>
      </c>
      <c r="N597" s="41">
        <f t="shared" si="41"/>
        <v>0</v>
      </c>
      <c r="O597" s="67">
        <f t="shared" si="42"/>
        <v>0</v>
      </c>
    </row>
    <row r="598" spans="1:15" ht="15" customHeight="1" x14ac:dyDescent="0.3">
      <c r="A598" s="55">
        <v>46161</v>
      </c>
      <c r="B598" s="58" t="s">
        <v>12</v>
      </c>
      <c r="C598" s="41">
        <v>8</v>
      </c>
      <c r="D598" s="57">
        <f>VLOOKUP(B598,[1]lantai9!$B:$G,6,FALSE)</f>
        <v>21000</v>
      </c>
      <c r="E598" s="57">
        <f>VLOOKUP(B598,karyawan!B:D,3,FALSE)</f>
        <v>20000</v>
      </c>
      <c r="F598" s="57" t="str">
        <f>VLOOKUP(B598,karyawan!B:E,4,FALSE)</f>
        <v>Damaz</v>
      </c>
      <c r="G598" s="42">
        <v>2</v>
      </c>
      <c r="H598" s="66">
        <f t="shared" si="40"/>
        <v>-2</v>
      </c>
      <c r="I598" s="85">
        <v>2</v>
      </c>
      <c r="K598" s="41">
        <v>0</v>
      </c>
      <c r="M598" s="88">
        <v>2</v>
      </c>
      <c r="N598" s="41">
        <f t="shared" si="41"/>
        <v>0</v>
      </c>
      <c r="O598" s="67">
        <f t="shared" si="42"/>
        <v>0</v>
      </c>
    </row>
    <row r="599" spans="1:15" ht="15" customHeight="1" x14ac:dyDescent="0.3">
      <c r="A599" s="55">
        <v>46161</v>
      </c>
      <c r="B599" s="58" t="s">
        <v>11</v>
      </c>
      <c r="C599" s="41">
        <v>8</v>
      </c>
      <c r="D599" s="57">
        <f>VLOOKUP(B599,[1]lantai9!$B:$G,6,FALSE)</f>
        <v>36000</v>
      </c>
      <c r="E599" s="57">
        <f>VLOOKUP(B599,karyawan!B:D,3,FALSE)</f>
        <v>35000</v>
      </c>
      <c r="F599" s="57" t="str">
        <f>VLOOKUP(B599,karyawan!B:E,4,FALSE)</f>
        <v>Damaz</v>
      </c>
      <c r="G599" s="42">
        <v>3</v>
      </c>
      <c r="H599" s="66">
        <f t="shared" si="40"/>
        <v>-1</v>
      </c>
      <c r="I599" s="85">
        <v>3</v>
      </c>
      <c r="K599" s="41">
        <v>0</v>
      </c>
      <c r="M599" s="88">
        <v>3</v>
      </c>
      <c r="N599" s="41">
        <f t="shared" si="41"/>
        <v>0</v>
      </c>
      <c r="O599" s="67">
        <f t="shared" si="42"/>
        <v>0</v>
      </c>
    </row>
    <row r="600" spans="1:15" ht="15" customHeight="1" x14ac:dyDescent="0.3">
      <c r="A600" s="55">
        <v>46161</v>
      </c>
      <c r="B600" s="58" t="s">
        <v>14</v>
      </c>
      <c r="C600" s="41">
        <v>8</v>
      </c>
      <c r="D600" s="57">
        <f>VLOOKUP(B600,[1]lantai9!$B:$G,6,FALSE)</f>
        <v>23000</v>
      </c>
      <c r="E600" s="57">
        <f>VLOOKUP(B600,karyawan!B:D,3,FALSE)</f>
        <v>22000</v>
      </c>
      <c r="F600" s="57" t="str">
        <f>VLOOKUP(B600,karyawan!B:E,4,FALSE)</f>
        <v>Vale</v>
      </c>
      <c r="G600" s="42">
        <v>5</v>
      </c>
      <c r="H600" s="66">
        <f t="shared" si="40"/>
        <v>-4</v>
      </c>
      <c r="I600" s="85">
        <v>5</v>
      </c>
      <c r="K600" s="41">
        <v>0</v>
      </c>
      <c r="M600" s="88">
        <v>5</v>
      </c>
      <c r="N600" s="41">
        <f t="shared" si="41"/>
        <v>0</v>
      </c>
      <c r="O600" s="67">
        <f t="shared" si="42"/>
        <v>0</v>
      </c>
    </row>
    <row r="601" spans="1:15" ht="15" customHeight="1" x14ac:dyDescent="0.3">
      <c r="A601" s="55">
        <v>46161</v>
      </c>
      <c r="B601" s="58" t="s">
        <v>7</v>
      </c>
      <c r="C601" s="41">
        <v>8</v>
      </c>
      <c r="D601" s="57">
        <f>VLOOKUP(B601,[1]lantai9!$B:$G,6,FALSE)</f>
        <v>15000</v>
      </c>
      <c r="E601" s="57">
        <f>VLOOKUP(B601,karyawan!B:D,3,FALSE)</f>
        <v>14000</v>
      </c>
      <c r="F601" s="57" t="str">
        <f>VLOOKUP(B601,karyawan!B:E,4,FALSE)</f>
        <v>Desy</v>
      </c>
      <c r="G601" s="42">
        <v>6</v>
      </c>
      <c r="H601" s="66">
        <f t="shared" si="40"/>
        <v>-14</v>
      </c>
      <c r="I601" s="85">
        <v>6</v>
      </c>
      <c r="K601" s="41">
        <v>0</v>
      </c>
      <c r="M601" s="88">
        <v>6</v>
      </c>
      <c r="N601" s="41">
        <f t="shared" si="41"/>
        <v>0</v>
      </c>
      <c r="O601" s="67">
        <f t="shared" si="42"/>
        <v>0</v>
      </c>
    </row>
    <row r="602" spans="1:15" ht="15" customHeight="1" x14ac:dyDescent="0.3">
      <c r="A602" s="55">
        <v>46161</v>
      </c>
      <c r="B602" s="58" t="s">
        <v>8</v>
      </c>
      <c r="C602" s="41">
        <v>8</v>
      </c>
      <c r="D602" s="57">
        <f>VLOOKUP(B602,[1]lantai9!$B:$G,6,FALSE)</f>
        <v>18000</v>
      </c>
      <c r="E602" s="57">
        <f>VLOOKUP(B602,karyawan!B:D,3,FALSE)</f>
        <v>17000</v>
      </c>
      <c r="F602" s="57" t="str">
        <f>VLOOKUP(B602,karyawan!B:E,4,FALSE)</f>
        <v>Geby</v>
      </c>
      <c r="G602" s="42">
        <v>4</v>
      </c>
      <c r="H602" s="66">
        <f t="shared" si="40"/>
        <v>-1</v>
      </c>
      <c r="I602" s="85">
        <v>4</v>
      </c>
      <c r="K602" s="41">
        <v>0</v>
      </c>
      <c r="M602" s="88">
        <v>4</v>
      </c>
      <c r="N602" s="41">
        <f t="shared" si="41"/>
        <v>0</v>
      </c>
      <c r="O602" s="67">
        <f t="shared" si="42"/>
        <v>0</v>
      </c>
    </row>
    <row r="603" spans="1:15" ht="15" customHeight="1" x14ac:dyDescent="0.3">
      <c r="A603" s="55">
        <v>46161</v>
      </c>
      <c r="B603" s="58" t="s">
        <v>9</v>
      </c>
      <c r="C603" s="41">
        <v>8</v>
      </c>
      <c r="D603" s="57">
        <f>VLOOKUP(B603,[1]lantai9!$B:$G,6,FALSE)</f>
        <v>21000</v>
      </c>
      <c r="E603" s="57">
        <f>VLOOKUP(B603,karyawan!B:D,3,FALSE)</f>
        <v>20000</v>
      </c>
      <c r="F603" s="57" t="str">
        <f>VLOOKUP(B603,karyawan!B:E,4,FALSE)</f>
        <v>Geby</v>
      </c>
      <c r="G603" s="42">
        <v>3</v>
      </c>
      <c r="H603" s="66">
        <f t="shared" si="40"/>
        <v>-8</v>
      </c>
      <c r="I603" s="85">
        <v>3</v>
      </c>
      <c r="K603" s="41">
        <v>0</v>
      </c>
      <c r="M603" s="88">
        <v>3</v>
      </c>
      <c r="N603" s="41">
        <f t="shared" si="41"/>
        <v>0</v>
      </c>
      <c r="O603" s="67">
        <f t="shared" si="42"/>
        <v>0</v>
      </c>
    </row>
    <row r="604" spans="1:15" ht="15" customHeight="1" x14ac:dyDescent="0.3">
      <c r="A604" s="55">
        <v>46161</v>
      </c>
      <c r="B604" s="58" t="s">
        <v>20</v>
      </c>
      <c r="C604" s="41">
        <v>8</v>
      </c>
      <c r="D604" s="57">
        <f>VLOOKUP(B604,[1]lantai9!$B:$G,6,FALSE)</f>
        <v>35000</v>
      </c>
      <c r="E604" s="57">
        <f>VLOOKUP(B604,karyawan!B:D,3,FALSE)</f>
        <v>34000</v>
      </c>
      <c r="F604" s="57" t="str">
        <f>VLOOKUP(B604,karyawan!B:E,4,FALSE)</f>
        <v>Sherly</v>
      </c>
      <c r="G604" s="42">
        <v>2</v>
      </c>
      <c r="H604" s="66">
        <f t="shared" si="40"/>
        <v>-10</v>
      </c>
      <c r="I604" s="85">
        <v>2</v>
      </c>
      <c r="K604" s="41">
        <v>0</v>
      </c>
      <c r="M604" s="88">
        <v>2</v>
      </c>
      <c r="N604" s="41">
        <f t="shared" si="41"/>
        <v>0</v>
      </c>
      <c r="O604" s="67">
        <f t="shared" si="42"/>
        <v>0</v>
      </c>
    </row>
    <row r="605" spans="1:15" ht="15" customHeight="1" x14ac:dyDescent="0.3">
      <c r="A605" s="55">
        <v>46161</v>
      </c>
      <c r="B605" s="58" t="s">
        <v>21</v>
      </c>
      <c r="C605" s="41">
        <v>8</v>
      </c>
      <c r="D605" s="57">
        <f>VLOOKUP(B605,[1]lantai9!$B:$G,6,FALSE)</f>
        <v>40000</v>
      </c>
      <c r="E605" s="57">
        <f>VLOOKUP(B605,karyawan!B:D,3,FALSE)</f>
        <v>39000</v>
      </c>
      <c r="F605" s="57" t="str">
        <f>VLOOKUP(B605,karyawan!B:E,4,FALSE)</f>
        <v>Sherly</v>
      </c>
      <c r="G605" s="42">
        <v>4</v>
      </c>
      <c r="H605" s="66">
        <f t="shared" si="40"/>
        <v>-5</v>
      </c>
      <c r="I605" s="85">
        <v>4</v>
      </c>
      <c r="K605" s="41">
        <v>0</v>
      </c>
      <c r="M605" s="88">
        <v>4</v>
      </c>
      <c r="N605" s="41">
        <f t="shared" si="41"/>
        <v>0</v>
      </c>
      <c r="O605" s="67">
        <f t="shared" si="42"/>
        <v>0</v>
      </c>
    </row>
    <row r="606" spans="1:15" ht="15" customHeight="1" x14ac:dyDescent="0.3">
      <c r="A606" s="55">
        <v>46161</v>
      </c>
      <c r="B606" s="58" t="s">
        <v>19</v>
      </c>
      <c r="C606" s="41">
        <v>8</v>
      </c>
      <c r="D606" s="57">
        <f>VLOOKUP(B606,[1]lantai9!$B:$G,6,FALSE)</f>
        <v>2500</v>
      </c>
      <c r="E606" s="57">
        <f>VLOOKUP(B606,karyawan!B:D,3,FALSE)</f>
        <v>1480</v>
      </c>
      <c r="F606" s="57" t="str">
        <f>VLOOKUP(B606,karyawan!B:E,4,FALSE)</f>
        <v>Compliance</v>
      </c>
      <c r="G606" s="42">
        <v>12</v>
      </c>
      <c r="H606" s="66">
        <f t="shared" si="40"/>
        <v>-12</v>
      </c>
      <c r="I606" s="85">
        <v>12</v>
      </c>
      <c r="K606" s="41">
        <v>0</v>
      </c>
      <c r="M606" s="88">
        <v>12</v>
      </c>
      <c r="N606" s="41">
        <f t="shared" si="41"/>
        <v>0</v>
      </c>
      <c r="O606" s="67">
        <f t="shared" si="42"/>
        <v>0</v>
      </c>
    </row>
    <row r="607" spans="1:15" ht="15" customHeight="1" x14ac:dyDescent="0.3">
      <c r="A607" s="55">
        <v>46161</v>
      </c>
      <c r="B607" s="58" t="s">
        <v>17</v>
      </c>
      <c r="C607" s="41">
        <v>8</v>
      </c>
      <c r="D607" s="57">
        <f>VLOOKUP(B607,[1]lantai9!$B:$G,6,FALSE)</f>
        <v>2000</v>
      </c>
      <c r="E607" s="57">
        <f>VLOOKUP(B607,karyawan!B:D,3,FALSE)</f>
        <v>1074</v>
      </c>
      <c r="F607" s="57" t="str">
        <f>VLOOKUP(B607,karyawan!B:E,4,FALSE)</f>
        <v>Compliance</v>
      </c>
      <c r="G607" s="42">
        <v>10</v>
      </c>
      <c r="H607" s="66">
        <f t="shared" ref="H607:H638" si="43">H586-J586</f>
        <v>-25</v>
      </c>
      <c r="I607" s="85">
        <v>10</v>
      </c>
      <c r="K607" s="41">
        <v>0</v>
      </c>
      <c r="M607" s="88">
        <v>10</v>
      </c>
      <c r="N607" s="41">
        <f t="shared" si="41"/>
        <v>0</v>
      </c>
      <c r="O607" s="67">
        <f t="shared" si="42"/>
        <v>0</v>
      </c>
    </row>
    <row r="608" spans="1:15" ht="15" customHeight="1" x14ac:dyDescent="0.3">
      <c r="A608" s="55">
        <v>46161</v>
      </c>
      <c r="B608" s="58" t="s">
        <v>5</v>
      </c>
      <c r="C608" s="41">
        <v>8</v>
      </c>
      <c r="D608" s="57">
        <f>VLOOKUP(B608,[1]lantai9!$B:$G,6,FALSE)</f>
        <v>2500</v>
      </c>
      <c r="E608" s="57">
        <f>VLOOKUP(B608,karyawan!B:D,3,FALSE)</f>
        <v>1465</v>
      </c>
      <c r="F608" s="57" t="str">
        <f>VLOOKUP(B608,karyawan!B:E,4,FALSE)</f>
        <v>Compliance</v>
      </c>
      <c r="G608" s="42">
        <v>10</v>
      </c>
      <c r="H608" s="66">
        <f t="shared" si="43"/>
        <v>-22</v>
      </c>
      <c r="I608" s="85">
        <v>10</v>
      </c>
      <c r="K608" s="41">
        <v>0</v>
      </c>
      <c r="M608" s="88">
        <v>10</v>
      </c>
      <c r="N608" s="41">
        <f t="shared" si="41"/>
        <v>0</v>
      </c>
      <c r="O608" s="67">
        <f t="shared" si="42"/>
        <v>0</v>
      </c>
    </row>
    <row r="609" spans="1:15" ht="15" customHeight="1" x14ac:dyDescent="0.3">
      <c r="A609" s="55">
        <v>46161</v>
      </c>
      <c r="B609" s="58" t="s">
        <v>3</v>
      </c>
      <c r="C609" s="41">
        <v>8</v>
      </c>
      <c r="D609" s="57">
        <f>VLOOKUP(B609,[1]lantai9!$B:$G,6,FALSE)</f>
        <v>10000</v>
      </c>
      <c r="E609" s="57">
        <f>VLOOKUP(B609,karyawan!B:D,3,FALSE)</f>
        <v>9200</v>
      </c>
      <c r="F609" s="57" t="str">
        <f>VLOOKUP(B609,karyawan!B:E,4,FALSE)</f>
        <v>Compliance</v>
      </c>
      <c r="G609" s="42">
        <v>15</v>
      </c>
      <c r="H609" s="66">
        <f t="shared" si="43"/>
        <v>-5</v>
      </c>
      <c r="I609" s="85">
        <v>15</v>
      </c>
      <c r="K609" s="41">
        <v>0</v>
      </c>
      <c r="M609" s="88">
        <v>15</v>
      </c>
      <c r="N609" s="41">
        <f t="shared" si="41"/>
        <v>0</v>
      </c>
      <c r="O609" s="67">
        <f t="shared" si="42"/>
        <v>0</v>
      </c>
    </row>
    <row r="610" spans="1:15" ht="15" customHeight="1" x14ac:dyDescent="0.3">
      <c r="A610" s="55">
        <v>46161</v>
      </c>
      <c r="B610" s="58" t="s">
        <v>18</v>
      </c>
      <c r="C610" s="41">
        <v>8</v>
      </c>
      <c r="D610" s="57">
        <f>VLOOKUP(B610,[1]lantai9!$B:$G,6,FALSE)</f>
        <v>15000</v>
      </c>
      <c r="E610" s="57">
        <f>VLOOKUP(B610,karyawan!B:D,3,FALSE)</f>
        <v>13807</v>
      </c>
      <c r="F610" s="57" t="str">
        <f>VLOOKUP(B610,karyawan!B:E,4,FALSE)</f>
        <v>Compliance</v>
      </c>
      <c r="G610" s="42">
        <v>10</v>
      </c>
      <c r="H610" s="66">
        <f t="shared" si="43"/>
        <v>0</v>
      </c>
      <c r="I610" s="85">
        <v>10</v>
      </c>
      <c r="K610" s="41">
        <v>0</v>
      </c>
      <c r="M610" s="88">
        <v>10</v>
      </c>
      <c r="N610" s="41">
        <f t="shared" si="41"/>
        <v>0</v>
      </c>
      <c r="O610" s="67">
        <f t="shared" si="42"/>
        <v>0</v>
      </c>
    </row>
    <row r="611" spans="1:15" ht="15" customHeight="1" x14ac:dyDescent="0.3">
      <c r="A611" s="55">
        <v>46161</v>
      </c>
      <c r="B611" s="58" t="s">
        <v>10</v>
      </c>
      <c r="C611" s="41">
        <v>8</v>
      </c>
      <c r="D611" s="57">
        <f>VLOOKUP(B611,[1]lantai9!$B:$G,6,FALSE)</f>
        <v>23000</v>
      </c>
      <c r="E611" s="57">
        <f>VLOOKUP(B611,karyawan!B:D,3,FALSE)</f>
        <v>21760</v>
      </c>
      <c r="F611" s="57" t="str">
        <f>VLOOKUP(B611,karyawan!B:E,4,FALSE)</f>
        <v>Compliance</v>
      </c>
      <c r="G611" s="42">
        <v>7</v>
      </c>
      <c r="H611" s="66">
        <f t="shared" si="43"/>
        <v>0</v>
      </c>
      <c r="I611" s="85">
        <v>6</v>
      </c>
      <c r="K611" s="41">
        <v>0</v>
      </c>
      <c r="M611" s="88">
        <v>6</v>
      </c>
      <c r="N611" s="41">
        <f t="shared" si="41"/>
        <v>0</v>
      </c>
      <c r="O611" s="67">
        <f t="shared" si="42"/>
        <v>0</v>
      </c>
    </row>
    <row r="612" spans="1:15" ht="15" customHeight="1" x14ac:dyDescent="0.3">
      <c r="A612" s="55">
        <v>46161</v>
      </c>
      <c r="B612" s="56" t="s">
        <v>23</v>
      </c>
      <c r="C612" s="41">
        <v>8</v>
      </c>
      <c r="D612" s="57">
        <f>VLOOKUP(B612,[1]lantai9!$B:$G,6,FALSE)</f>
        <v>11000</v>
      </c>
      <c r="E612" s="57">
        <f>VLOOKUP(B612,karyawan!B:D,3,FALSE)</f>
        <v>10000</v>
      </c>
      <c r="F612" s="57" t="str">
        <f>VLOOKUP(B612,karyawan!B:E,4,FALSE)</f>
        <v>Compliance</v>
      </c>
      <c r="G612" s="42">
        <v>8</v>
      </c>
      <c r="H612" s="66">
        <f t="shared" si="43"/>
        <v>-6</v>
      </c>
      <c r="I612" s="85">
        <v>6</v>
      </c>
      <c r="K612" s="41">
        <v>0</v>
      </c>
      <c r="M612" s="88">
        <v>6</v>
      </c>
      <c r="N612" s="41">
        <f t="shared" si="41"/>
        <v>0</v>
      </c>
      <c r="O612" s="67">
        <f t="shared" si="42"/>
        <v>0</v>
      </c>
    </row>
    <row r="613" spans="1:15" ht="15" customHeight="1" x14ac:dyDescent="0.3">
      <c r="A613" s="55">
        <v>46161</v>
      </c>
      <c r="B613" s="56" t="s">
        <v>24</v>
      </c>
      <c r="C613" s="41">
        <v>8</v>
      </c>
      <c r="D613" s="57">
        <f>VLOOKUP(B613,[1]lantai9!$B:$G,6,FALSE)</f>
        <v>14500</v>
      </c>
      <c r="E613" s="57">
        <f>VLOOKUP(B613,karyawan!B:D,3,FALSE)</f>
        <v>13500</v>
      </c>
      <c r="F613" s="57" t="str">
        <f>VLOOKUP(B613,karyawan!B:E,4,FALSE)</f>
        <v>Compliance</v>
      </c>
      <c r="G613" s="42">
        <v>6</v>
      </c>
      <c r="H613" s="66">
        <f t="shared" si="43"/>
        <v>-14</v>
      </c>
      <c r="I613" s="85">
        <v>6</v>
      </c>
      <c r="K613" s="41">
        <v>0</v>
      </c>
      <c r="M613" s="88">
        <v>6</v>
      </c>
      <c r="N613" s="41">
        <f t="shared" si="41"/>
        <v>0</v>
      </c>
      <c r="O613" s="67">
        <f t="shared" si="42"/>
        <v>0</v>
      </c>
    </row>
    <row r="614" spans="1:15" ht="15" customHeight="1" x14ac:dyDescent="0.3">
      <c r="A614" s="55">
        <v>46161</v>
      </c>
      <c r="B614" s="56" t="s">
        <v>15</v>
      </c>
      <c r="C614" s="41">
        <v>8</v>
      </c>
      <c r="D614" s="57">
        <f>VLOOKUP(B614,[1]lantai9!$B:$G,6,FALSE)</f>
        <v>3500</v>
      </c>
      <c r="E614" s="57">
        <f>VLOOKUP(B614,karyawan!B:D,3,FALSE)</f>
        <v>2500</v>
      </c>
      <c r="F614" s="57" t="str">
        <f>VLOOKUP(B614,karyawan!B:E,4,FALSE)</f>
        <v>Compliance</v>
      </c>
      <c r="G614" s="42">
        <v>20</v>
      </c>
      <c r="H614" s="66">
        <f t="shared" si="43"/>
        <v>0</v>
      </c>
      <c r="I614" s="85">
        <v>14</v>
      </c>
      <c r="K614" s="41">
        <v>0</v>
      </c>
      <c r="M614" s="88">
        <v>14</v>
      </c>
      <c r="N614" s="41">
        <f t="shared" si="41"/>
        <v>0</v>
      </c>
      <c r="O614" s="67">
        <f t="shared" si="42"/>
        <v>0</v>
      </c>
    </row>
    <row r="615" spans="1:15" ht="15" customHeight="1" x14ac:dyDescent="0.3">
      <c r="A615" s="55">
        <v>46161</v>
      </c>
      <c r="B615" s="56" t="s">
        <v>22</v>
      </c>
      <c r="C615" s="41">
        <v>8</v>
      </c>
      <c r="D615" s="57">
        <f>VLOOKUP(B615,[1]lantai9!$B:$G,6,FALSE)</f>
        <v>5500</v>
      </c>
      <c r="E615" s="57">
        <f>VLOOKUP(B615,karyawan!B:D,3,FALSE)</f>
        <v>4500</v>
      </c>
      <c r="F615" s="57" t="str">
        <f>VLOOKUP(B615,karyawan!B:E,4,FALSE)</f>
        <v>Compliance</v>
      </c>
      <c r="G615" s="42">
        <v>8</v>
      </c>
      <c r="H615" s="66">
        <f t="shared" si="43"/>
        <v>-5</v>
      </c>
      <c r="I615" s="85">
        <v>8</v>
      </c>
      <c r="K615" s="41">
        <v>0</v>
      </c>
      <c r="M615" s="88">
        <v>8</v>
      </c>
      <c r="N615" s="41">
        <f t="shared" si="41"/>
        <v>0</v>
      </c>
      <c r="O615" s="67">
        <f t="shared" si="42"/>
        <v>0</v>
      </c>
    </row>
    <row r="616" spans="1:15" ht="15" customHeight="1" x14ac:dyDescent="0.3">
      <c r="A616" s="55">
        <v>46161</v>
      </c>
      <c r="B616" s="56" t="s">
        <v>25</v>
      </c>
      <c r="C616" s="41">
        <v>8</v>
      </c>
      <c r="D616" s="57">
        <f>VLOOKUP(B616,[1]lantai9!$B:$G,6,FALSE)</f>
        <v>9000</v>
      </c>
      <c r="E616" s="57">
        <f>VLOOKUP(B616,karyawan!B:D,3,FALSE)</f>
        <v>8000</v>
      </c>
      <c r="F616" s="57" t="str">
        <f>VLOOKUP(B616,karyawan!B:E,4,FALSE)</f>
        <v>Compliance</v>
      </c>
      <c r="G616" s="42">
        <v>3</v>
      </c>
      <c r="H616" s="66">
        <f t="shared" si="43"/>
        <v>0</v>
      </c>
      <c r="I616" s="85">
        <v>3</v>
      </c>
      <c r="K616" s="41">
        <v>0</v>
      </c>
      <c r="M616" s="88">
        <v>3</v>
      </c>
      <c r="N616" s="41">
        <f t="shared" si="41"/>
        <v>0</v>
      </c>
      <c r="O616" s="67">
        <f t="shared" si="42"/>
        <v>0</v>
      </c>
    </row>
    <row r="617" spans="1:15" ht="15" customHeight="1" x14ac:dyDescent="0.3">
      <c r="A617" s="55">
        <v>46161</v>
      </c>
      <c r="B617" s="58" t="s">
        <v>4</v>
      </c>
      <c r="C617" s="41">
        <v>9</v>
      </c>
      <c r="D617" s="57">
        <f>VLOOKUP(B617,[1]lantai9!$B:$G,6,FALSE)</f>
        <v>35000</v>
      </c>
      <c r="E617" s="57">
        <f>VLOOKUP(B617,karyawan!B:D,3,FALSE)</f>
        <v>34000</v>
      </c>
      <c r="F617" s="57" t="str">
        <f>VLOOKUP(B617,karyawan!B:E,4,FALSE)</f>
        <v>Florida</v>
      </c>
      <c r="G617" s="42">
        <v>5</v>
      </c>
      <c r="H617" s="66">
        <f t="shared" si="43"/>
        <v>-10</v>
      </c>
      <c r="I617" s="85">
        <v>5</v>
      </c>
      <c r="K617" s="41">
        <v>0</v>
      </c>
      <c r="M617" s="88">
        <v>5</v>
      </c>
      <c r="N617" s="41">
        <f t="shared" si="41"/>
        <v>0</v>
      </c>
      <c r="O617" s="67">
        <f t="shared" si="42"/>
        <v>0</v>
      </c>
    </row>
    <row r="618" spans="1:15" ht="15" customHeight="1" x14ac:dyDescent="0.3">
      <c r="A618" s="55">
        <v>46161</v>
      </c>
      <c r="B618" s="58" t="s">
        <v>13</v>
      </c>
      <c r="C618" s="41">
        <v>9</v>
      </c>
      <c r="D618" s="57">
        <f>VLOOKUP(B618,[1]lantai9!$B:$G,6,FALSE)</f>
        <v>23000</v>
      </c>
      <c r="E618" s="57">
        <f>VLOOKUP(B618,karyawan!B:D,3,FALSE)</f>
        <v>22000</v>
      </c>
      <c r="F618" s="57" t="str">
        <f>VLOOKUP(B618,karyawan!B:E,4,FALSE)</f>
        <v>Yohannes</v>
      </c>
      <c r="G618" s="42">
        <v>6</v>
      </c>
      <c r="H618" s="66">
        <f t="shared" si="43"/>
        <v>-11</v>
      </c>
      <c r="I618" s="85">
        <v>2</v>
      </c>
      <c r="K618" s="41">
        <v>0</v>
      </c>
      <c r="M618" s="88">
        <v>2</v>
      </c>
      <c r="N618" s="41">
        <f t="shared" si="41"/>
        <v>0</v>
      </c>
      <c r="O618" s="67">
        <f t="shared" si="42"/>
        <v>0</v>
      </c>
    </row>
    <row r="619" spans="1:15" ht="15" customHeight="1" x14ac:dyDescent="0.3">
      <c r="A619" s="55">
        <v>46161</v>
      </c>
      <c r="B619" s="58" t="s">
        <v>12</v>
      </c>
      <c r="C619" s="41">
        <v>9</v>
      </c>
      <c r="D619" s="57">
        <f>VLOOKUP(B619,[1]lantai9!$B:$G,6,FALSE)</f>
        <v>21000</v>
      </c>
      <c r="E619" s="57">
        <f>VLOOKUP(B619,karyawan!B:D,3,FALSE)</f>
        <v>20000</v>
      </c>
      <c r="F619" s="57" t="str">
        <f>VLOOKUP(B619,karyawan!B:E,4,FALSE)</f>
        <v>Damaz</v>
      </c>
      <c r="G619" s="42">
        <v>2</v>
      </c>
      <c r="H619" s="66">
        <f t="shared" si="43"/>
        <v>-2</v>
      </c>
      <c r="I619" s="85">
        <v>0</v>
      </c>
      <c r="K619" s="41">
        <v>0</v>
      </c>
      <c r="M619" s="88">
        <v>0</v>
      </c>
      <c r="N619" s="41">
        <f t="shared" si="41"/>
        <v>0</v>
      </c>
      <c r="O619" s="67">
        <f t="shared" si="42"/>
        <v>0</v>
      </c>
    </row>
    <row r="620" spans="1:15" ht="15" customHeight="1" x14ac:dyDescent="0.3">
      <c r="A620" s="55">
        <v>46161</v>
      </c>
      <c r="B620" s="58" t="s">
        <v>11</v>
      </c>
      <c r="C620" s="41">
        <v>9</v>
      </c>
      <c r="D620" s="57">
        <f>VLOOKUP(B620,[1]lantai9!$B:$G,6,FALSE)</f>
        <v>36000</v>
      </c>
      <c r="E620" s="57">
        <f>VLOOKUP(B620,karyawan!B:D,3,FALSE)</f>
        <v>35000</v>
      </c>
      <c r="F620" s="57" t="str">
        <f>VLOOKUP(B620,karyawan!B:E,4,FALSE)</f>
        <v>Damaz</v>
      </c>
      <c r="G620" s="42">
        <v>3</v>
      </c>
      <c r="H620" s="66">
        <f t="shared" si="43"/>
        <v>-1</v>
      </c>
      <c r="I620" s="85">
        <v>0</v>
      </c>
      <c r="K620" s="41">
        <v>0</v>
      </c>
      <c r="M620" s="88">
        <v>0</v>
      </c>
      <c r="N620" s="41">
        <f t="shared" si="41"/>
        <v>0</v>
      </c>
      <c r="O620" s="67">
        <f t="shared" si="42"/>
        <v>0</v>
      </c>
    </row>
    <row r="621" spans="1:15" ht="15" customHeight="1" x14ac:dyDescent="0.3">
      <c r="A621" s="55">
        <v>46161</v>
      </c>
      <c r="B621" s="58" t="s">
        <v>14</v>
      </c>
      <c r="C621" s="41">
        <v>9</v>
      </c>
      <c r="D621" s="57">
        <f>VLOOKUP(B621,[1]lantai9!$B:$G,6,FALSE)</f>
        <v>23000</v>
      </c>
      <c r="E621" s="57">
        <f>VLOOKUP(B621,karyawan!B:D,3,FALSE)</f>
        <v>22000</v>
      </c>
      <c r="F621" s="57" t="str">
        <f>VLOOKUP(B621,karyawan!B:E,4,FALSE)</f>
        <v>Vale</v>
      </c>
      <c r="G621" s="42">
        <v>5</v>
      </c>
      <c r="H621" s="66">
        <f t="shared" si="43"/>
        <v>-4</v>
      </c>
      <c r="I621" s="85">
        <v>0</v>
      </c>
      <c r="K621" s="41">
        <v>0</v>
      </c>
      <c r="M621" s="88">
        <v>0</v>
      </c>
      <c r="N621" s="41">
        <f t="shared" si="41"/>
        <v>0</v>
      </c>
      <c r="O621" s="67">
        <f t="shared" si="42"/>
        <v>0</v>
      </c>
    </row>
    <row r="622" spans="1:15" ht="15" customHeight="1" x14ac:dyDescent="0.3">
      <c r="A622" s="55">
        <v>46161</v>
      </c>
      <c r="B622" s="58" t="s">
        <v>7</v>
      </c>
      <c r="C622" s="41">
        <v>9</v>
      </c>
      <c r="D622" s="57">
        <f>VLOOKUP(B622,[1]lantai9!$B:$G,6,FALSE)</f>
        <v>15000</v>
      </c>
      <c r="E622" s="57">
        <f>VLOOKUP(B622,karyawan!B:D,3,FALSE)</f>
        <v>14000</v>
      </c>
      <c r="F622" s="57" t="str">
        <f>VLOOKUP(B622,karyawan!B:E,4,FALSE)</f>
        <v>Desy</v>
      </c>
      <c r="G622" s="42">
        <v>6</v>
      </c>
      <c r="H622" s="66">
        <f t="shared" si="43"/>
        <v>-14</v>
      </c>
      <c r="I622" s="85">
        <v>6</v>
      </c>
      <c r="K622" s="41">
        <v>0</v>
      </c>
      <c r="M622" s="88">
        <v>6</v>
      </c>
      <c r="N622" s="41">
        <f t="shared" si="41"/>
        <v>0</v>
      </c>
      <c r="O622" s="67">
        <f t="shared" si="42"/>
        <v>0</v>
      </c>
    </row>
    <row r="623" spans="1:15" ht="15" customHeight="1" x14ac:dyDescent="0.3">
      <c r="A623" s="55">
        <v>46161</v>
      </c>
      <c r="B623" s="58" t="s">
        <v>8</v>
      </c>
      <c r="C623" s="41">
        <v>9</v>
      </c>
      <c r="D623" s="57">
        <f>VLOOKUP(B623,[1]lantai9!$B:$G,6,FALSE)</f>
        <v>18000</v>
      </c>
      <c r="E623" s="57">
        <f>VLOOKUP(B623,karyawan!B:D,3,FALSE)</f>
        <v>17000</v>
      </c>
      <c r="F623" s="57" t="str">
        <f>VLOOKUP(B623,karyawan!B:E,4,FALSE)</f>
        <v>Geby</v>
      </c>
      <c r="G623" s="42">
        <v>4</v>
      </c>
      <c r="H623" s="66">
        <f t="shared" si="43"/>
        <v>-1</v>
      </c>
      <c r="I623" s="85">
        <v>4</v>
      </c>
      <c r="K623" s="41">
        <v>0</v>
      </c>
      <c r="M623" s="88">
        <v>4</v>
      </c>
      <c r="N623" s="41">
        <f t="shared" si="41"/>
        <v>0</v>
      </c>
      <c r="O623" s="67">
        <f t="shared" si="42"/>
        <v>0</v>
      </c>
    </row>
    <row r="624" spans="1:15" ht="15" customHeight="1" x14ac:dyDescent="0.3">
      <c r="A624" s="55">
        <v>46161</v>
      </c>
      <c r="B624" s="58" t="s">
        <v>9</v>
      </c>
      <c r="C624" s="41">
        <v>9</v>
      </c>
      <c r="D624" s="57">
        <f>VLOOKUP(B624,[1]lantai9!$B:$G,6,FALSE)</f>
        <v>21000</v>
      </c>
      <c r="E624" s="57">
        <f>VLOOKUP(B624,karyawan!B:D,3,FALSE)</f>
        <v>20000</v>
      </c>
      <c r="F624" s="57" t="str">
        <f>VLOOKUP(B624,karyawan!B:E,4,FALSE)</f>
        <v>Geby</v>
      </c>
      <c r="G624" s="42">
        <v>3</v>
      </c>
      <c r="H624" s="66">
        <f t="shared" si="43"/>
        <v>-8</v>
      </c>
      <c r="I624" s="85">
        <v>3</v>
      </c>
      <c r="K624" s="41">
        <v>0</v>
      </c>
      <c r="M624" s="88">
        <v>3</v>
      </c>
      <c r="N624" s="41">
        <f t="shared" si="41"/>
        <v>0</v>
      </c>
      <c r="O624" s="67">
        <f t="shared" si="42"/>
        <v>0</v>
      </c>
    </row>
    <row r="625" spans="1:15" ht="15" customHeight="1" x14ac:dyDescent="0.3">
      <c r="A625" s="55">
        <v>46161</v>
      </c>
      <c r="B625" s="58" t="s">
        <v>20</v>
      </c>
      <c r="C625" s="41">
        <v>9</v>
      </c>
      <c r="D625" s="57">
        <f>VLOOKUP(B625,[1]lantai9!$B:$G,6,FALSE)</f>
        <v>35000</v>
      </c>
      <c r="E625" s="57">
        <f>VLOOKUP(B625,karyawan!B:D,3,FALSE)</f>
        <v>34000</v>
      </c>
      <c r="F625" s="57" t="str">
        <f>VLOOKUP(B625,karyawan!B:E,4,FALSE)</f>
        <v>Sherly</v>
      </c>
      <c r="G625" s="42">
        <v>2</v>
      </c>
      <c r="H625" s="66">
        <f t="shared" si="43"/>
        <v>-10</v>
      </c>
      <c r="I625" s="85">
        <v>11</v>
      </c>
      <c r="K625" s="41">
        <v>0</v>
      </c>
      <c r="M625" s="88">
        <v>11</v>
      </c>
      <c r="N625" s="41">
        <f t="shared" si="41"/>
        <v>0</v>
      </c>
      <c r="O625" s="67">
        <f t="shared" si="42"/>
        <v>0</v>
      </c>
    </row>
    <row r="626" spans="1:15" ht="15" customHeight="1" x14ac:dyDescent="0.3">
      <c r="A626" s="55">
        <v>46161</v>
      </c>
      <c r="B626" s="58" t="s">
        <v>21</v>
      </c>
      <c r="C626" s="41">
        <v>9</v>
      </c>
      <c r="D626" s="57">
        <f>VLOOKUP(B626,[1]lantai9!$B:$G,6,FALSE)</f>
        <v>40000</v>
      </c>
      <c r="E626" s="57">
        <f>VLOOKUP(B626,karyawan!B:D,3,FALSE)</f>
        <v>39000</v>
      </c>
      <c r="F626" s="57" t="str">
        <f>VLOOKUP(B626,karyawan!B:E,4,FALSE)</f>
        <v>Sherly</v>
      </c>
      <c r="G626" s="42">
        <v>4</v>
      </c>
      <c r="H626" s="66">
        <f t="shared" si="43"/>
        <v>-5</v>
      </c>
      <c r="I626" s="85">
        <v>5</v>
      </c>
      <c r="K626" s="41">
        <v>0</v>
      </c>
      <c r="M626" s="88">
        <v>5</v>
      </c>
      <c r="N626" s="41">
        <f t="shared" si="41"/>
        <v>0</v>
      </c>
      <c r="O626" s="67">
        <f t="shared" si="42"/>
        <v>0</v>
      </c>
    </row>
    <row r="627" spans="1:15" ht="15" customHeight="1" x14ac:dyDescent="0.3">
      <c r="A627" s="55">
        <v>46161</v>
      </c>
      <c r="B627" s="58" t="s">
        <v>19</v>
      </c>
      <c r="C627" s="41">
        <v>9</v>
      </c>
      <c r="D627" s="57">
        <f>VLOOKUP(B627,[1]lantai9!$B:$G,6,FALSE)</f>
        <v>2500</v>
      </c>
      <c r="E627" s="57">
        <f>VLOOKUP(B627,karyawan!B:D,3,FALSE)</f>
        <v>1480</v>
      </c>
      <c r="F627" s="57" t="str">
        <f>VLOOKUP(B627,karyawan!B:E,4,FALSE)</f>
        <v>Compliance</v>
      </c>
      <c r="G627" s="42">
        <v>12</v>
      </c>
      <c r="H627" s="66">
        <f t="shared" si="43"/>
        <v>-12</v>
      </c>
      <c r="I627" s="85">
        <v>1</v>
      </c>
      <c r="K627" s="41">
        <v>0</v>
      </c>
      <c r="M627" s="88">
        <v>1</v>
      </c>
      <c r="N627" s="41">
        <f t="shared" si="41"/>
        <v>0</v>
      </c>
      <c r="O627" s="67">
        <f t="shared" si="42"/>
        <v>0</v>
      </c>
    </row>
    <row r="628" spans="1:15" ht="15" customHeight="1" x14ac:dyDescent="0.3">
      <c r="A628" s="55">
        <v>46161</v>
      </c>
      <c r="B628" s="58" t="s">
        <v>17</v>
      </c>
      <c r="C628" s="41">
        <v>9</v>
      </c>
      <c r="D628" s="57">
        <f>VLOOKUP(B628,[1]lantai9!$B:$G,6,FALSE)</f>
        <v>2000</v>
      </c>
      <c r="E628" s="57">
        <f>VLOOKUP(B628,karyawan!B:D,3,FALSE)</f>
        <v>1074</v>
      </c>
      <c r="F628" s="57" t="str">
        <f>VLOOKUP(B628,karyawan!B:E,4,FALSE)</f>
        <v>Compliance</v>
      </c>
      <c r="G628" s="42">
        <v>10</v>
      </c>
      <c r="H628" s="66">
        <f t="shared" si="43"/>
        <v>-25</v>
      </c>
      <c r="I628" s="85">
        <v>10</v>
      </c>
      <c r="K628" s="41">
        <v>0</v>
      </c>
      <c r="M628" s="88">
        <v>10</v>
      </c>
      <c r="N628" s="41">
        <f t="shared" si="41"/>
        <v>0</v>
      </c>
      <c r="O628" s="67">
        <f t="shared" si="42"/>
        <v>0</v>
      </c>
    </row>
    <row r="629" spans="1:15" ht="15" customHeight="1" x14ac:dyDescent="0.3">
      <c r="A629" s="55">
        <v>46161</v>
      </c>
      <c r="B629" s="58" t="s">
        <v>5</v>
      </c>
      <c r="C629" s="41">
        <v>9</v>
      </c>
      <c r="D629" s="57">
        <f>VLOOKUP(B629,[1]lantai9!$B:$G,6,FALSE)</f>
        <v>2500</v>
      </c>
      <c r="E629" s="57">
        <f>VLOOKUP(B629,karyawan!B:D,3,FALSE)</f>
        <v>1465</v>
      </c>
      <c r="F629" s="57" t="str">
        <f>VLOOKUP(B629,karyawan!B:E,4,FALSE)</f>
        <v>Compliance</v>
      </c>
      <c r="G629" s="42">
        <v>10</v>
      </c>
      <c r="H629" s="66">
        <f t="shared" si="43"/>
        <v>-22</v>
      </c>
      <c r="I629" s="85">
        <v>10</v>
      </c>
      <c r="K629" s="41">
        <v>0</v>
      </c>
      <c r="M629" s="88">
        <v>10</v>
      </c>
      <c r="N629" s="41">
        <f t="shared" si="41"/>
        <v>0</v>
      </c>
      <c r="O629" s="67">
        <f t="shared" si="42"/>
        <v>0</v>
      </c>
    </row>
    <row r="630" spans="1:15" ht="15" customHeight="1" x14ac:dyDescent="0.3">
      <c r="A630" s="55">
        <v>46161</v>
      </c>
      <c r="B630" s="58" t="s">
        <v>3</v>
      </c>
      <c r="C630" s="41">
        <v>9</v>
      </c>
      <c r="D630" s="57">
        <f>VLOOKUP(B630,[1]lantai9!$B:$G,6,FALSE)</f>
        <v>10000</v>
      </c>
      <c r="E630" s="57">
        <f>VLOOKUP(B630,karyawan!B:D,3,FALSE)</f>
        <v>9200</v>
      </c>
      <c r="F630" s="57" t="str">
        <f>VLOOKUP(B630,karyawan!B:E,4,FALSE)</f>
        <v>Compliance</v>
      </c>
      <c r="G630" s="42">
        <v>15</v>
      </c>
      <c r="H630" s="66">
        <f t="shared" si="43"/>
        <v>-5</v>
      </c>
      <c r="I630" s="85">
        <v>15</v>
      </c>
      <c r="K630" s="41">
        <v>0</v>
      </c>
      <c r="M630" s="88">
        <v>15</v>
      </c>
      <c r="N630" s="41">
        <f t="shared" si="41"/>
        <v>0</v>
      </c>
      <c r="O630" s="67">
        <f t="shared" si="42"/>
        <v>0</v>
      </c>
    </row>
    <row r="631" spans="1:15" ht="15" customHeight="1" x14ac:dyDescent="0.3">
      <c r="A631" s="55">
        <v>46161</v>
      </c>
      <c r="B631" s="58" t="s">
        <v>18</v>
      </c>
      <c r="C631" s="41">
        <v>9</v>
      </c>
      <c r="D631" s="57">
        <f>VLOOKUP(B631,[1]lantai9!$B:$G,6,FALSE)</f>
        <v>15000</v>
      </c>
      <c r="E631" s="57">
        <f>VLOOKUP(B631,karyawan!B:D,3,FALSE)</f>
        <v>13807</v>
      </c>
      <c r="F631" s="57" t="str">
        <f>VLOOKUP(B631,karyawan!B:E,4,FALSE)</f>
        <v>Compliance</v>
      </c>
      <c r="G631" s="42">
        <v>10</v>
      </c>
      <c r="H631" s="66">
        <f t="shared" si="43"/>
        <v>0</v>
      </c>
      <c r="I631" s="85">
        <v>10</v>
      </c>
      <c r="K631" s="41">
        <v>0</v>
      </c>
      <c r="M631" s="88">
        <v>10</v>
      </c>
      <c r="N631" s="41">
        <f t="shared" si="41"/>
        <v>0</v>
      </c>
      <c r="O631" s="67">
        <f t="shared" si="42"/>
        <v>0</v>
      </c>
    </row>
    <row r="632" spans="1:15" ht="15" customHeight="1" x14ac:dyDescent="0.3">
      <c r="A632" s="55">
        <v>46161</v>
      </c>
      <c r="B632" s="58" t="s">
        <v>10</v>
      </c>
      <c r="C632" s="41">
        <v>9</v>
      </c>
      <c r="D632" s="57">
        <f>VLOOKUP(B632,[1]lantai9!$B:$G,6,FALSE)</f>
        <v>23000</v>
      </c>
      <c r="E632" s="57">
        <f>VLOOKUP(B632,karyawan!B:D,3,FALSE)</f>
        <v>21760</v>
      </c>
      <c r="F632" s="57" t="str">
        <f>VLOOKUP(B632,karyawan!B:E,4,FALSE)</f>
        <v>Compliance</v>
      </c>
      <c r="G632" s="42">
        <v>7</v>
      </c>
      <c r="H632" s="66">
        <f t="shared" si="43"/>
        <v>0</v>
      </c>
      <c r="I632" s="85">
        <v>6</v>
      </c>
      <c r="K632" s="41">
        <v>0</v>
      </c>
      <c r="M632" s="88">
        <v>6</v>
      </c>
      <c r="N632" s="41">
        <f t="shared" si="41"/>
        <v>0</v>
      </c>
      <c r="O632" s="67">
        <f t="shared" si="42"/>
        <v>0</v>
      </c>
    </row>
    <row r="633" spans="1:15" ht="15" customHeight="1" x14ac:dyDescent="0.3">
      <c r="A633" s="55">
        <v>46161</v>
      </c>
      <c r="B633" s="56" t="s">
        <v>23</v>
      </c>
      <c r="C633" s="41">
        <v>9</v>
      </c>
      <c r="D633" s="57">
        <f>VLOOKUP(B633,[1]lantai9!$B:$G,6,FALSE)</f>
        <v>11000</v>
      </c>
      <c r="E633" s="57">
        <f>VLOOKUP(B633,karyawan!B:D,3,FALSE)</f>
        <v>10000</v>
      </c>
      <c r="F633" s="57" t="str">
        <f>VLOOKUP(B633,karyawan!B:E,4,FALSE)</f>
        <v>Compliance</v>
      </c>
      <c r="G633" s="42">
        <v>8</v>
      </c>
      <c r="H633" s="66">
        <f t="shared" si="43"/>
        <v>-6</v>
      </c>
      <c r="I633" s="85">
        <v>5</v>
      </c>
      <c r="K633" s="41">
        <v>0</v>
      </c>
      <c r="M633" s="88">
        <v>5</v>
      </c>
      <c r="N633" s="41">
        <f t="shared" si="41"/>
        <v>0</v>
      </c>
      <c r="O633" s="67">
        <f t="shared" si="42"/>
        <v>0</v>
      </c>
    </row>
    <row r="634" spans="1:15" ht="15" customHeight="1" x14ac:dyDescent="0.3">
      <c r="A634" s="55">
        <v>46161</v>
      </c>
      <c r="B634" s="56" t="s">
        <v>24</v>
      </c>
      <c r="C634" s="41">
        <v>9</v>
      </c>
      <c r="D634" s="57">
        <f>VLOOKUP(B634,[1]lantai9!$B:$G,6,FALSE)</f>
        <v>14500</v>
      </c>
      <c r="E634" s="57">
        <f>VLOOKUP(B634,karyawan!B:D,3,FALSE)</f>
        <v>13500</v>
      </c>
      <c r="F634" s="57" t="str">
        <f>VLOOKUP(B634,karyawan!B:E,4,FALSE)</f>
        <v>Compliance</v>
      </c>
      <c r="G634" s="42">
        <v>6</v>
      </c>
      <c r="H634" s="66">
        <f t="shared" si="43"/>
        <v>-14</v>
      </c>
      <c r="I634" s="85">
        <v>6</v>
      </c>
      <c r="K634" s="41">
        <v>0</v>
      </c>
      <c r="M634" s="88">
        <v>6</v>
      </c>
      <c r="N634" s="41">
        <f t="shared" si="41"/>
        <v>0</v>
      </c>
      <c r="O634" s="67">
        <f t="shared" si="42"/>
        <v>0</v>
      </c>
    </row>
    <row r="635" spans="1:15" ht="15" customHeight="1" x14ac:dyDescent="0.3">
      <c r="A635" s="55">
        <v>46161</v>
      </c>
      <c r="B635" s="56" t="s">
        <v>15</v>
      </c>
      <c r="C635" s="41">
        <v>9</v>
      </c>
      <c r="D635" s="57">
        <f>VLOOKUP(B635,[1]lantai9!$B:$G,6,FALSE)</f>
        <v>3500</v>
      </c>
      <c r="E635" s="57">
        <f>VLOOKUP(B635,karyawan!B:D,3,FALSE)</f>
        <v>2500</v>
      </c>
      <c r="F635" s="57" t="str">
        <f>VLOOKUP(B635,karyawan!B:E,4,FALSE)</f>
        <v>Compliance</v>
      </c>
      <c r="G635" s="42">
        <v>20</v>
      </c>
      <c r="H635" s="66">
        <f t="shared" si="43"/>
        <v>0</v>
      </c>
      <c r="I635" s="85">
        <v>11</v>
      </c>
      <c r="K635" s="41">
        <v>0</v>
      </c>
      <c r="M635" s="88">
        <v>11</v>
      </c>
      <c r="N635" s="41">
        <f t="shared" si="41"/>
        <v>0</v>
      </c>
      <c r="O635" s="67">
        <f t="shared" si="42"/>
        <v>0</v>
      </c>
    </row>
    <row r="636" spans="1:15" ht="15" customHeight="1" x14ac:dyDescent="0.3">
      <c r="A636" s="55">
        <v>46161</v>
      </c>
      <c r="B636" s="56" t="s">
        <v>22</v>
      </c>
      <c r="C636" s="41">
        <v>9</v>
      </c>
      <c r="D636" s="57">
        <f>VLOOKUP(B636,[1]lantai9!$B:$G,6,FALSE)</f>
        <v>5500</v>
      </c>
      <c r="E636" s="57">
        <f>VLOOKUP(B636,karyawan!B:D,3,FALSE)</f>
        <v>4500</v>
      </c>
      <c r="F636" s="57" t="str">
        <f>VLOOKUP(B636,karyawan!B:E,4,FALSE)</f>
        <v>Compliance</v>
      </c>
      <c r="G636" s="42">
        <v>8</v>
      </c>
      <c r="H636" s="66">
        <f t="shared" si="43"/>
        <v>-5</v>
      </c>
      <c r="I636" s="85">
        <v>8</v>
      </c>
      <c r="K636" s="41">
        <v>0</v>
      </c>
      <c r="M636" s="88">
        <v>8</v>
      </c>
      <c r="N636" s="41">
        <f t="shared" si="41"/>
        <v>0</v>
      </c>
      <c r="O636" s="67">
        <f t="shared" si="42"/>
        <v>0</v>
      </c>
    </row>
    <row r="637" spans="1:15" ht="15" customHeight="1" x14ac:dyDescent="0.3">
      <c r="A637" s="55">
        <v>46161</v>
      </c>
      <c r="B637" s="56" t="s">
        <v>25</v>
      </c>
      <c r="C637" s="41">
        <v>9</v>
      </c>
      <c r="D637" s="57">
        <f>VLOOKUP(B637,[1]lantai9!$B:$G,6,FALSE)</f>
        <v>9000</v>
      </c>
      <c r="E637" s="57">
        <f>VLOOKUP(B637,karyawan!B:D,3,FALSE)</f>
        <v>8000</v>
      </c>
      <c r="F637" s="57" t="str">
        <f>VLOOKUP(B637,karyawan!B:E,4,FALSE)</f>
        <v>Compliance</v>
      </c>
      <c r="G637" s="42">
        <v>3</v>
      </c>
      <c r="H637" s="66">
        <f t="shared" si="43"/>
        <v>0</v>
      </c>
      <c r="I637" s="86">
        <v>0</v>
      </c>
      <c r="K637" s="41">
        <v>0</v>
      </c>
      <c r="M637" s="89">
        <v>0</v>
      </c>
      <c r="N637" s="41">
        <f t="shared" si="41"/>
        <v>0</v>
      </c>
      <c r="O637" s="67">
        <f t="shared" si="42"/>
        <v>0</v>
      </c>
    </row>
  </sheetData>
  <autoFilter ref="A1:O574" xr:uid="{B95951AB-A916-4397-AA75-837BDA15EBEB}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D7299-0608-4950-8EF0-6B9ED1AF9A42}">
  <dimension ref="A1:I24"/>
  <sheetViews>
    <sheetView workbookViewId="0">
      <selection activeCell="J6" sqref="J6"/>
    </sheetView>
  </sheetViews>
  <sheetFormatPr defaultColWidth="32.5546875" defaultRowHeight="14.4" x14ac:dyDescent="0.3"/>
  <cols>
    <col min="2" max="2" width="32.5546875" style="28"/>
    <col min="3" max="8" width="0" hidden="1" customWidth="1"/>
  </cols>
  <sheetData>
    <row r="1" spans="1:9" ht="27.6" customHeight="1" x14ac:dyDescent="0.3">
      <c r="A1" s="30" t="s">
        <v>0</v>
      </c>
      <c r="B1" s="31" t="s">
        <v>41</v>
      </c>
      <c r="C1" s="30" t="s">
        <v>29</v>
      </c>
      <c r="D1" s="30" t="s">
        <v>30</v>
      </c>
      <c r="E1" s="30" t="s">
        <v>31</v>
      </c>
      <c r="F1" s="30" t="s">
        <v>42</v>
      </c>
      <c r="G1" s="30" t="s">
        <v>43</v>
      </c>
      <c r="H1" s="46" t="s">
        <v>44</v>
      </c>
      <c r="I1" s="46" t="s">
        <v>45</v>
      </c>
    </row>
    <row r="2" spans="1:9" x14ac:dyDescent="0.3">
      <c r="A2" s="32">
        <v>1</v>
      </c>
      <c r="B2" s="33" t="s">
        <v>3</v>
      </c>
      <c r="C2" s="34">
        <v>10000</v>
      </c>
      <c r="D2" s="35">
        <v>9200</v>
      </c>
      <c r="E2" s="32" t="s">
        <v>46</v>
      </c>
      <c r="F2" s="32">
        <f>VLOOKUP(B2,'Total Item Terjual'!B2:C24,2,FALSE)</f>
        <v>44</v>
      </c>
      <c r="G2" s="45">
        <f>VLOOKUP(B2,Inventory!G:H,2,FALSE)</f>
        <v>61</v>
      </c>
      <c r="H2" s="47"/>
      <c r="I2" s="27"/>
    </row>
    <row r="3" spans="1:9" x14ac:dyDescent="0.3">
      <c r="A3" s="32">
        <v>2</v>
      </c>
      <c r="B3" s="33" t="s">
        <v>4</v>
      </c>
      <c r="C3" s="34">
        <v>35000</v>
      </c>
      <c r="D3" s="35">
        <v>34000</v>
      </c>
      <c r="E3" s="32" t="s">
        <v>47</v>
      </c>
      <c r="F3" s="32">
        <f>VLOOKUP(B3,'Total Item Terjual'!B3:C25,2,FALSE)</f>
        <v>21</v>
      </c>
      <c r="G3" s="45">
        <f>VLOOKUP(B3,Inventory!G:H,2,FALSE)</f>
        <v>7</v>
      </c>
      <c r="H3" s="47">
        <v>26</v>
      </c>
      <c r="I3" s="27">
        <f t="shared" ref="I3:I13" si="0">SUM(F3:G3)-H3</f>
        <v>2</v>
      </c>
    </row>
    <row r="4" spans="1:9" x14ac:dyDescent="0.3">
      <c r="A4" s="32">
        <v>3</v>
      </c>
      <c r="B4" s="33" t="s">
        <v>5</v>
      </c>
      <c r="C4" s="34">
        <v>2500</v>
      </c>
      <c r="D4" s="35">
        <v>1465</v>
      </c>
      <c r="E4" s="32" t="s">
        <v>46</v>
      </c>
      <c r="F4" s="32">
        <f>VLOOKUP(B4,'Total Item Terjual'!B4:C26,2,FALSE)</f>
        <v>80</v>
      </c>
      <c r="G4" s="45">
        <f>VLOOKUP(B4,Inventory!G:H,2,FALSE)</f>
        <v>87</v>
      </c>
      <c r="H4" s="47"/>
      <c r="I4" s="27"/>
    </row>
    <row r="5" spans="1:9" x14ac:dyDescent="0.3">
      <c r="A5" s="32">
        <v>4</v>
      </c>
      <c r="B5" s="33" t="s">
        <v>6</v>
      </c>
      <c r="C5" s="34">
        <v>21000</v>
      </c>
      <c r="D5" s="35">
        <v>20000</v>
      </c>
      <c r="E5" s="32" t="s">
        <v>48</v>
      </c>
      <c r="F5" s="32">
        <f>VLOOKUP(B5,'Total Item Terjual'!B5:C27,2,FALSE)</f>
        <v>10</v>
      </c>
      <c r="G5" s="45" t="e">
        <f>VLOOKUP(B5,Inventory!G:H,2,FALSE)</f>
        <v>#N/A</v>
      </c>
      <c r="H5" s="47"/>
      <c r="I5" s="27"/>
    </row>
    <row r="6" spans="1:9" x14ac:dyDescent="0.3">
      <c r="A6" s="32">
        <v>5</v>
      </c>
      <c r="B6" s="33" t="s">
        <v>7</v>
      </c>
      <c r="C6" s="34">
        <v>15000</v>
      </c>
      <c r="D6" s="35">
        <v>14000</v>
      </c>
      <c r="E6" s="32" t="s">
        <v>49</v>
      </c>
      <c r="F6" s="32">
        <f>VLOOKUP(B6,'Total Item Terjual'!B6:C28,2,FALSE)</f>
        <v>41</v>
      </c>
      <c r="G6" s="45">
        <f>VLOOKUP(B6,Inventory!G:H,2,FALSE)</f>
        <v>20</v>
      </c>
      <c r="H6" s="47">
        <v>60</v>
      </c>
      <c r="I6" s="27">
        <f t="shared" si="0"/>
        <v>1</v>
      </c>
    </row>
    <row r="7" spans="1:9" x14ac:dyDescent="0.3">
      <c r="A7" s="32">
        <v>6</v>
      </c>
      <c r="B7" s="33" t="s">
        <v>8</v>
      </c>
      <c r="C7" s="34">
        <v>18000</v>
      </c>
      <c r="D7" s="35">
        <v>17000</v>
      </c>
      <c r="E7" s="32" t="s">
        <v>48</v>
      </c>
      <c r="F7" s="32">
        <f>VLOOKUP(B7,'Total Item Terjual'!B7:C29,2,FALSE)</f>
        <v>8</v>
      </c>
      <c r="G7" s="45">
        <f>VLOOKUP(B7,Inventory!G:H,2,FALSE)</f>
        <v>6</v>
      </c>
      <c r="H7" s="47">
        <v>35</v>
      </c>
      <c r="I7" s="27">
        <f>SUM(F7:G7)+F15-H7</f>
        <v>6</v>
      </c>
    </row>
    <row r="8" spans="1:9" x14ac:dyDescent="0.3">
      <c r="A8" s="32">
        <v>7</v>
      </c>
      <c r="B8" s="33" t="s">
        <v>9</v>
      </c>
      <c r="C8" s="34">
        <v>21000</v>
      </c>
      <c r="D8" s="35">
        <v>20000</v>
      </c>
      <c r="E8" s="32" t="s">
        <v>48</v>
      </c>
      <c r="F8" s="32">
        <f>VLOOKUP(B8,'Total Item Terjual'!B8:C30,2,FALSE)</f>
        <v>9</v>
      </c>
      <c r="G8" s="45">
        <f>VLOOKUP(B8,Inventory!G:H,2,FALSE)</f>
        <v>3</v>
      </c>
      <c r="H8" s="47">
        <v>23</v>
      </c>
      <c r="I8" s="27">
        <f>SUM(F8:G8)+F5-H8</f>
        <v>-1</v>
      </c>
    </row>
    <row r="9" spans="1:9" x14ac:dyDescent="0.3">
      <c r="A9" s="32">
        <v>8</v>
      </c>
      <c r="B9" s="33" t="s">
        <v>10</v>
      </c>
      <c r="C9" s="34">
        <v>23000</v>
      </c>
      <c r="D9" s="35">
        <v>21760</v>
      </c>
      <c r="E9" s="32" t="s">
        <v>46</v>
      </c>
      <c r="F9" s="32">
        <f>VLOOKUP(B9,'Total Item Terjual'!B9:C31,2,FALSE)</f>
        <v>20</v>
      </c>
      <c r="G9" s="45">
        <f>VLOOKUP(B9,Inventory!G:H,2,FALSE)</f>
        <v>13</v>
      </c>
      <c r="H9" s="47"/>
      <c r="I9" s="27"/>
    </row>
    <row r="10" spans="1:9" x14ac:dyDescent="0.3">
      <c r="A10" s="32">
        <v>9</v>
      </c>
      <c r="B10" s="33" t="s">
        <v>11</v>
      </c>
      <c r="C10" s="34">
        <v>36000</v>
      </c>
      <c r="D10" s="35">
        <v>35000</v>
      </c>
      <c r="E10" s="32" t="s">
        <v>50</v>
      </c>
      <c r="F10" s="32">
        <f>VLOOKUP(B10,'Total Item Terjual'!B10:C32,2,FALSE)</f>
        <v>7</v>
      </c>
      <c r="G10" s="45">
        <f>VLOOKUP(B10,Inventory!G:H,2,FALSE)</f>
        <v>4</v>
      </c>
      <c r="H10" s="47">
        <v>9</v>
      </c>
      <c r="I10" s="27">
        <f t="shared" si="0"/>
        <v>2</v>
      </c>
    </row>
    <row r="11" spans="1:9" x14ac:dyDescent="0.3">
      <c r="A11" s="32">
        <v>10</v>
      </c>
      <c r="B11" s="33" t="s">
        <v>12</v>
      </c>
      <c r="C11" s="34">
        <v>21000</v>
      </c>
      <c r="D11" s="35">
        <v>20000</v>
      </c>
      <c r="E11" s="32" t="s">
        <v>50</v>
      </c>
      <c r="F11" s="32">
        <f>VLOOKUP(B11,'Total Item Terjual'!B11:C33,2,FALSE)</f>
        <v>5</v>
      </c>
      <c r="G11" s="45">
        <f>VLOOKUP(B11,Inventory!G:H,2,FALSE)</f>
        <v>2</v>
      </c>
      <c r="H11" s="47">
        <v>6</v>
      </c>
      <c r="I11" s="27">
        <f t="shared" si="0"/>
        <v>1</v>
      </c>
    </row>
    <row r="12" spans="1:9" x14ac:dyDescent="0.3">
      <c r="A12" s="32">
        <v>11</v>
      </c>
      <c r="B12" s="33" t="s">
        <v>13</v>
      </c>
      <c r="C12" s="34">
        <v>23000</v>
      </c>
      <c r="D12" s="35">
        <v>22000</v>
      </c>
      <c r="E12" s="32" t="s">
        <v>51</v>
      </c>
      <c r="F12" s="32">
        <f>VLOOKUP(B12,'Total Item Terjual'!B12:C34,2,FALSE)</f>
        <v>69</v>
      </c>
      <c r="G12" s="45">
        <f>VLOOKUP(B12,Inventory!G:H,2,FALSE)</f>
        <v>43</v>
      </c>
      <c r="H12" s="47">
        <v>115</v>
      </c>
      <c r="I12" s="27">
        <f t="shared" si="0"/>
        <v>-3</v>
      </c>
    </row>
    <row r="13" spans="1:9" x14ac:dyDescent="0.3">
      <c r="A13" s="32">
        <v>12</v>
      </c>
      <c r="B13" s="33" t="s">
        <v>14</v>
      </c>
      <c r="C13" s="34">
        <v>23000</v>
      </c>
      <c r="D13" s="35">
        <v>22000</v>
      </c>
      <c r="E13" s="32" t="s">
        <v>52</v>
      </c>
      <c r="F13" s="32">
        <f>VLOOKUP(B13,'Total Item Terjual'!B13:C35,2,FALSE)</f>
        <v>26</v>
      </c>
      <c r="G13" s="45">
        <f>VLOOKUP(B13,Inventory!G:H,2,FALSE)</f>
        <v>11</v>
      </c>
      <c r="H13" s="47">
        <v>37</v>
      </c>
      <c r="I13" s="27">
        <f t="shared" si="0"/>
        <v>0</v>
      </c>
    </row>
    <row r="14" spans="1:9" x14ac:dyDescent="0.3">
      <c r="A14" s="32">
        <v>13</v>
      </c>
      <c r="B14" s="33" t="s">
        <v>15</v>
      </c>
      <c r="C14" s="34">
        <v>3500</v>
      </c>
      <c r="D14" s="35">
        <v>2500</v>
      </c>
      <c r="E14" s="32" t="s">
        <v>46</v>
      </c>
      <c r="F14" s="32">
        <f>VLOOKUP(B14,'Total Item Terjual'!B14:C36,2,FALSE)</f>
        <v>46</v>
      </c>
      <c r="G14" s="45">
        <f>VLOOKUP(B14,Inventory!G:H,2,FALSE)</f>
        <v>36</v>
      </c>
      <c r="H14" s="47"/>
      <c r="I14" s="27"/>
    </row>
    <row r="15" spans="1:9" x14ac:dyDescent="0.3">
      <c r="A15" s="32">
        <v>14</v>
      </c>
      <c r="B15" s="33" t="s">
        <v>16</v>
      </c>
      <c r="C15" s="34">
        <v>18000</v>
      </c>
      <c r="D15" s="35">
        <v>17000</v>
      </c>
      <c r="E15" s="32" t="s">
        <v>48</v>
      </c>
      <c r="F15" s="32">
        <f>VLOOKUP(B15,'Total Item Terjual'!B15:C37,2,FALSE)</f>
        <v>27</v>
      </c>
      <c r="G15" s="45" t="e">
        <f>VLOOKUP(B15,Inventory!G:H,2,FALSE)</f>
        <v>#N/A</v>
      </c>
      <c r="H15" s="47"/>
      <c r="I15" s="27"/>
    </row>
    <row r="16" spans="1:9" x14ac:dyDescent="0.3">
      <c r="A16" s="32">
        <v>15</v>
      </c>
      <c r="B16" s="33" t="s">
        <v>17</v>
      </c>
      <c r="C16" s="34">
        <v>2000</v>
      </c>
      <c r="D16" s="35">
        <v>1074</v>
      </c>
      <c r="E16" s="32" t="s">
        <v>46</v>
      </c>
      <c r="F16" s="32">
        <f>VLOOKUP(B16,'Total Item Terjual'!B16:C38,2,FALSE)</f>
        <v>90</v>
      </c>
      <c r="G16" s="45">
        <f>VLOOKUP(B16,Inventory!G:H,2,FALSE)</f>
        <v>89</v>
      </c>
      <c r="H16" s="47"/>
      <c r="I16" s="27"/>
    </row>
    <row r="17" spans="1:9" x14ac:dyDescent="0.3">
      <c r="A17" s="32">
        <v>16</v>
      </c>
      <c r="B17" s="33" t="s">
        <v>18</v>
      </c>
      <c r="C17" s="34">
        <v>15000</v>
      </c>
      <c r="D17" s="35">
        <v>13807</v>
      </c>
      <c r="E17" s="32" t="s">
        <v>46</v>
      </c>
      <c r="F17" s="32">
        <f>VLOOKUP(B17,'Total Item Terjual'!B17:C39,2,FALSE)</f>
        <v>64</v>
      </c>
      <c r="G17" s="45">
        <f>VLOOKUP(B17,Inventory!G:H,2,FALSE)</f>
        <v>46</v>
      </c>
      <c r="H17" s="47"/>
      <c r="I17" s="27"/>
    </row>
    <row r="18" spans="1:9" x14ac:dyDescent="0.3">
      <c r="A18" s="32">
        <v>17</v>
      </c>
      <c r="B18" s="33" t="s">
        <v>19</v>
      </c>
      <c r="C18" s="34">
        <v>2500</v>
      </c>
      <c r="D18" s="35">
        <v>1480</v>
      </c>
      <c r="E18" s="32" t="s">
        <v>46</v>
      </c>
      <c r="F18" s="32">
        <f>VLOOKUP(B18,'Total Item Terjual'!B18:C40,2,FALSE)</f>
        <v>30</v>
      </c>
      <c r="G18" s="45">
        <f>VLOOKUP(B18,Inventory!G:H,2,FALSE)</f>
        <v>5</v>
      </c>
      <c r="H18" s="47"/>
      <c r="I18" s="27"/>
    </row>
    <row r="19" spans="1:9" x14ac:dyDescent="0.3">
      <c r="A19" s="32">
        <v>18</v>
      </c>
      <c r="B19" s="33" t="s">
        <v>20</v>
      </c>
      <c r="C19" s="34">
        <v>35000</v>
      </c>
      <c r="D19" s="35">
        <v>34000</v>
      </c>
      <c r="E19" s="32" t="s">
        <v>53</v>
      </c>
      <c r="F19" s="32">
        <f>VLOOKUP(B19,'Total Item Terjual'!B19:C41,2,FALSE)</f>
        <v>11</v>
      </c>
      <c r="G19" s="45">
        <f>VLOOKUP(B19,Inventory!G:H,2,FALSE)</f>
        <v>20</v>
      </c>
      <c r="H19" s="47"/>
      <c r="I19" s="27"/>
    </row>
    <row r="20" spans="1:9" x14ac:dyDescent="0.3">
      <c r="A20" s="32">
        <v>19</v>
      </c>
      <c r="B20" s="33" t="s">
        <v>21</v>
      </c>
      <c r="C20" s="34">
        <v>40000</v>
      </c>
      <c r="D20" s="35">
        <v>39000</v>
      </c>
      <c r="E20" s="32" t="s">
        <v>53</v>
      </c>
      <c r="F20" s="32">
        <f>VLOOKUP(B20,'Total Item Terjual'!B20:C42,2,FALSE)</f>
        <v>23</v>
      </c>
      <c r="G20" s="45">
        <f>VLOOKUP(B20,Inventory!G:H,2,FALSE)</f>
        <v>29</v>
      </c>
      <c r="H20" s="47"/>
      <c r="I20" s="27"/>
    </row>
    <row r="21" spans="1:9" x14ac:dyDescent="0.3">
      <c r="A21" s="32">
        <v>20</v>
      </c>
      <c r="B21" s="33" t="s">
        <v>54</v>
      </c>
      <c r="C21" s="34">
        <v>5500</v>
      </c>
      <c r="D21" s="35">
        <v>4500</v>
      </c>
      <c r="E21" s="32" t="s">
        <v>46</v>
      </c>
      <c r="F21" s="32">
        <f>VLOOKUP(B21,'Total Item Terjual'!B21:C43,2,FALSE)</f>
        <v>17</v>
      </c>
      <c r="G21" s="45">
        <f>VLOOKUP(B21,Inventory!G:H,2,FALSE)</f>
        <v>35</v>
      </c>
      <c r="H21" s="47"/>
      <c r="I21" s="27"/>
    </row>
    <row r="22" spans="1:9" x14ac:dyDescent="0.3">
      <c r="A22" s="32">
        <v>21</v>
      </c>
      <c r="B22" s="33" t="s">
        <v>23</v>
      </c>
      <c r="C22" s="34">
        <v>11000</v>
      </c>
      <c r="D22" s="35">
        <v>10000</v>
      </c>
      <c r="E22" s="32" t="s">
        <v>46</v>
      </c>
      <c r="F22" s="32">
        <f>VLOOKUP(B22,'Total Item Terjual'!B22:C44,2,FALSE)</f>
        <v>27</v>
      </c>
      <c r="G22" s="45">
        <f>VLOOKUP(B22,Inventory!G:H,2,FALSE)</f>
        <v>27</v>
      </c>
      <c r="H22" s="47"/>
      <c r="I22" s="27"/>
    </row>
    <row r="23" spans="1:9" x14ac:dyDescent="0.3">
      <c r="A23" s="32">
        <v>22</v>
      </c>
      <c r="B23" s="33" t="s">
        <v>24</v>
      </c>
      <c r="C23" s="34">
        <v>14500</v>
      </c>
      <c r="D23" s="35">
        <v>13500</v>
      </c>
      <c r="E23" s="32" t="s">
        <v>46</v>
      </c>
      <c r="F23" s="32">
        <f>VLOOKUP(B23,'Total Item Terjual'!B23:C45,2,FALSE)</f>
        <v>24</v>
      </c>
      <c r="G23" s="45">
        <f>VLOOKUP(B23,Inventory!G:H,2,FALSE)</f>
        <v>10</v>
      </c>
      <c r="H23" s="47"/>
      <c r="I23" s="27"/>
    </row>
    <row r="24" spans="1:9" x14ac:dyDescent="0.3">
      <c r="A24" s="32">
        <v>23</v>
      </c>
      <c r="B24" s="33" t="s">
        <v>25</v>
      </c>
      <c r="C24" s="34">
        <v>9000</v>
      </c>
      <c r="D24" s="35">
        <v>8000</v>
      </c>
      <c r="E24" s="32" t="s">
        <v>46</v>
      </c>
      <c r="F24" s="32">
        <f>VLOOKUP(B24,'Total Item Terjual'!B24:C46,2,FALSE)</f>
        <v>7</v>
      </c>
      <c r="G24" s="45">
        <f>VLOOKUP(B24,Inventory!G:H,2,FALSE)</f>
        <v>3</v>
      </c>
      <c r="H24" s="47"/>
      <c r="I24" s="27"/>
    </row>
  </sheetData>
  <conditionalFormatting sqref="I2:I24">
    <cfRule type="cellIs" dxfId="2" priority="1" operator="equal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E400-4AE4-46B3-A54A-3F0A55321816}">
  <dimension ref="A1:H24"/>
  <sheetViews>
    <sheetView workbookViewId="0"/>
  </sheetViews>
  <sheetFormatPr defaultColWidth="20" defaultRowHeight="14.4" x14ac:dyDescent="0.3"/>
  <sheetData>
    <row r="1" spans="1:8" ht="15" thickBot="1" x14ac:dyDescent="0.35">
      <c r="A1" s="7" t="s">
        <v>26</v>
      </c>
      <c r="B1" s="7" t="s">
        <v>55</v>
      </c>
      <c r="C1" s="7" t="s">
        <v>56</v>
      </c>
      <c r="D1" s="7" t="s">
        <v>57</v>
      </c>
      <c r="E1" s="7" t="s">
        <v>58</v>
      </c>
      <c r="F1" s="7" t="s">
        <v>59</v>
      </c>
      <c r="G1" s="7" t="s">
        <v>29</v>
      </c>
      <c r="H1" s="7" t="s">
        <v>60</v>
      </c>
    </row>
    <row r="2" spans="1:8" ht="15" thickBot="1" x14ac:dyDescent="0.35">
      <c r="A2" s="8">
        <v>46154</v>
      </c>
      <c r="B2" s="9" t="s">
        <v>4</v>
      </c>
      <c r="C2" s="10">
        <v>3</v>
      </c>
      <c r="D2" s="10">
        <v>5</v>
      </c>
      <c r="E2" s="10">
        <f>SUMIFS('[2]SO Warung'!$J:$J,'[2]SO Warung'!$A:$A,A2,'[2]SO Warung'!$B:$B,B2,'[2]SO Warung'!$D:$D,C2)</f>
        <v>4</v>
      </c>
      <c r="F2" s="10">
        <f>D2-E2</f>
        <v>1</v>
      </c>
      <c r="G2" s="11">
        <v>35000</v>
      </c>
      <c r="H2" s="9"/>
    </row>
    <row r="3" spans="1:8" ht="15" thickBot="1" x14ac:dyDescent="0.35">
      <c r="A3" s="8">
        <v>46154</v>
      </c>
      <c r="B3" s="9" t="s">
        <v>13</v>
      </c>
      <c r="C3" s="10">
        <v>3</v>
      </c>
      <c r="D3" s="10">
        <v>6</v>
      </c>
      <c r="E3" s="10">
        <f>SUMIFS('[2]SO Warung'!$J:$J,'[2]SO Warung'!$A:$A,A3,'[2]SO Warung'!$B:$B,B3,'[2]SO Warung'!$D:$D,C3)</f>
        <v>6</v>
      </c>
      <c r="F3" s="10">
        <f t="shared" ref="F3:F24" si="0">D3-E3</f>
        <v>0</v>
      </c>
      <c r="G3" s="11">
        <v>23000</v>
      </c>
      <c r="H3" s="9"/>
    </row>
    <row r="4" spans="1:8" ht="15" thickBot="1" x14ac:dyDescent="0.35">
      <c r="A4" s="8">
        <v>46154</v>
      </c>
      <c r="B4" s="9" t="s">
        <v>12</v>
      </c>
      <c r="C4" s="10">
        <v>3</v>
      </c>
      <c r="D4" s="10">
        <v>2</v>
      </c>
      <c r="E4" s="10">
        <f>SUMIFS('[2]SO Warung'!$J:$J,'[2]SO Warung'!$A:$A,A4,'[2]SO Warung'!$B:$B,B4,'[2]SO Warung'!$D:$D,C4)</f>
        <v>-1</v>
      </c>
      <c r="F4" s="10">
        <f t="shared" si="0"/>
        <v>3</v>
      </c>
      <c r="G4" s="11">
        <v>21000</v>
      </c>
      <c r="H4" s="9"/>
    </row>
    <row r="5" spans="1:8" ht="27.6" thickBot="1" x14ac:dyDescent="0.35">
      <c r="A5" s="8">
        <v>46154</v>
      </c>
      <c r="B5" s="9" t="s">
        <v>11</v>
      </c>
      <c r="C5" s="10">
        <v>3</v>
      </c>
      <c r="D5" s="10">
        <v>3</v>
      </c>
      <c r="E5" s="10">
        <f>SUMIFS('[2]SO Warung'!$J:$J,'[2]SO Warung'!$A:$A,A5,'[2]SO Warung'!$B:$B,B5,'[2]SO Warung'!$D:$D,C5)</f>
        <v>-2</v>
      </c>
      <c r="F5" s="10">
        <f t="shared" si="0"/>
        <v>5</v>
      </c>
      <c r="G5" s="11">
        <v>36000</v>
      </c>
      <c r="H5" s="9"/>
    </row>
    <row r="6" spans="1:8" ht="15" thickBot="1" x14ac:dyDescent="0.35">
      <c r="A6" s="8">
        <v>46154</v>
      </c>
      <c r="B6" s="9" t="s">
        <v>14</v>
      </c>
      <c r="C6" s="10">
        <v>3</v>
      </c>
      <c r="D6" s="10">
        <v>5</v>
      </c>
      <c r="E6" s="10">
        <f>SUMIFS('[2]SO Warung'!$J:$J,'[2]SO Warung'!$A:$A,A6,'[2]SO Warung'!$B:$B,B6,'[2]SO Warung'!$D:$D,C6)</f>
        <v>3</v>
      </c>
      <c r="F6" s="10">
        <f t="shared" si="0"/>
        <v>2</v>
      </c>
      <c r="G6" s="11">
        <v>23000</v>
      </c>
      <c r="H6" s="9"/>
    </row>
    <row r="7" spans="1:8" ht="15" thickBot="1" x14ac:dyDescent="0.35">
      <c r="A7" s="8">
        <v>46154</v>
      </c>
      <c r="B7" s="9" t="s">
        <v>7</v>
      </c>
      <c r="C7" s="10">
        <v>3</v>
      </c>
      <c r="D7" s="10">
        <v>6</v>
      </c>
      <c r="E7" s="10">
        <f>SUMIFS('[2]SO Warung'!$J:$J,'[2]SO Warung'!$A:$A,A7,'[2]SO Warung'!$B:$B,B7,'[2]SO Warung'!$D:$D,C7)</f>
        <v>0</v>
      </c>
      <c r="F7" s="10">
        <f t="shared" si="0"/>
        <v>6</v>
      </c>
      <c r="G7" s="11">
        <v>15000</v>
      </c>
      <c r="H7" s="9"/>
    </row>
    <row r="8" spans="1:8" ht="15" thickBot="1" x14ac:dyDescent="0.35">
      <c r="A8" s="8">
        <v>46154</v>
      </c>
      <c r="B8" s="9" t="s">
        <v>16</v>
      </c>
      <c r="C8" s="10">
        <v>3</v>
      </c>
      <c r="D8" s="10">
        <v>6</v>
      </c>
      <c r="E8" s="10">
        <f>SUMIFS('[2]SO Warung'!$J:$J,'[2]SO Warung'!$A:$A,A8,'[2]SO Warung'!$B:$B,B8,'[2]SO Warung'!$D:$D,C8)</f>
        <v>0</v>
      </c>
      <c r="F8" s="10">
        <f t="shared" si="0"/>
        <v>6</v>
      </c>
      <c r="G8" s="11">
        <v>18000</v>
      </c>
      <c r="H8" s="9"/>
    </row>
    <row r="9" spans="1:8" ht="15" thickBot="1" x14ac:dyDescent="0.35">
      <c r="A9" s="8">
        <v>46154</v>
      </c>
      <c r="B9" s="9" t="s">
        <v>6</v>
      </c>
      <c r="C9" s="10">
        <v>3</v>
      </c>
      <c r="D9" s="10">
        <v>2</v>
      </c>
      <c r="E9" s="10">
        <f>SUMIFS('[2]SO Warung'!$J:$J,'[2]SO Warung'!$A:$A,A9,'[2]SO Warung'!$B:$B,B9,'[2]SO Warung'!$D:$D,C9)</f>
        <v>0</v>
      </c>
      <c r="F9" s="10">
        <f t="shared" si="0"/>
        <v>2</v>
      </c>
      <c r="G9" s="11">
        <v>21000</v>
      </c>
      <c r="H9" s="9"/>
    </row>
    <row r="10" spans="1:8" ht="15" thickBot="1" x14ac:dyDescent="0.35">
      <c r="A10" s="8">
        <v>46154</v>
      </c>
      <c r="B10" s="9" t="s">
        <v>8</v>
      </c>
      <c r="C10" s="10">
        <v>3</v>
      </c>
      <c r="D10" s="10">
        <v>4</v>
      </c>
      <c r="E10" s="10">
        <f>SUMIFS('[2]SO Warung'!$J:$J,'[2]SO Warung'!$A:$A,A10,'[2]SO Warung'!$B:$B,B10,'[2]SO Warung'!$D:$D,C10)</f>
        <v>-2</v>
      </c>
      <c r="F10" s="10">
        <f t="shared" si="0"/>
        <v>6</v>
      </c>
      <c r="G10" s="11">
        <v>18000</v>
      </c>
      <c r="H10" s="9"/>
    </row>
    <row r="11" spans="1:8" ht="15" thickBot="1" x14ac:dyDescent="0.35">
      <c r="A11" s="8">
        <v>46154</v>
      </c>
      <c r="B11" s="9" t="s">
        <v>9</v>
      </c>
      <c r="C11" s="10">
        <v>3</v>
      </c>
      <c r="D11" s="10">
        <v>3</v>
      </c>
      <c r="E11" s="10">
        <f>SUMIFS('[2]SO Warung'!$J:$J,'[2]SO Warung'!$A:$A,A11,'[2]SO Warung'!$B:$B,B11,'[2]SO Warung'!$D:$D,C11)</f>
        <v>1</v>
      </c>
      <c r="F11" s="10">
        <f t="shared" si="0"/>
        <v>2</v>
      </c>
      <c r="G11" s="11">
        <v>21000</v>
      </c>
      <c r="H11" s="9"/>
    </row>
    <row r="12" spans="1:8" ht="15" thickBot="1" x14ac:dyDescent="0.35">
      <c r="A12" s="8">
        <v>46154</v>
      </c>
      <c r="B12" s="9" t="s">
        <v>20</v>
      </c>
      <c r="C12" s="10">
        <v>3</v>
      </c>
      <c r="D12" s="10">
        <v>2</v>
      </c>
      <c r="E12" s="10">
        <f>SUMIFS('[2]SO Warung'!$J:$J,'[2]SO Warung'!$A:$A,A12,'[2]SO Warung'!$B:$B,B12,'[2]SO Warung'!$D:$D,C12)</f>
        <v>1</v>
      </c>
      <c r="F12" s="10">
        <f t="shared" si="0"/>
        <v>1</v>
      </c>
      <c r="G12" s="11">
        <v>35000</v>
      </c>
      <c r="H12" s="9"/>
    </row>
    <row r="13" spans="1:8" ht="15" thickBot="1" x14ac:dyDescent="0.35">
      <c r="A13" s="8">
        <v>46154</v>
      </c>
      <c r="B13" s="9" t="s">
        <v>21</v>
      </c>
      <c r="C13" s="10">
        <v>3</v>
      </c>
      <c r="D13" s="10">
        <v>4</v>
      </c>
      <c r="E13" s="10">
        <f>SUMIFS('[2]SO Warung'!$J:$J,'[2]SO Warung'!$A:$A,A13,'[2]SO Warung'!$B:$B,B13,'[2]SO Warung'!$D:$D,C13)</f>
        <v>2</v>
      </c>
      <c r="F13" s="10">
        <f t="shared" si="0"/>
        <v>2</v>
      </c>
      <c r="G13" s="11">
        <v>40000</v>
      </c>
      <c r="H13" s="9"/>
    </row>
    <row r="14" spans="1:8" ht="15" thickBot="1" x14ac:dyDescent="0.35">
      <c r="A14" s="8">
        <v>46154</v>
      </c>
      <c r="B14" s="9" t="s">
        <v>19</v>
      </c>
      <c r="C14" s="10">
        <v>3</v>
      </c>
      <c r="D14" s="10">
        <v>12</v>
      </c>
      <c r="E14" s="10">
        <f>SUMIFS('[2]SO Warung'!$J:$J,'[2]SO Warung'!$A:$A,A14,'[2]SO Warung'!$B:$B,B14,'[2]SO Warung'!$D:$D,C14)</f>
        <v>0</v>
      </c>
      <c r="F14" s="10">
        <f t="shared" si="0"/>
        <v>12</v>
      </c>
      <c r="G14" s="11">
        <v>2500</v>
      </c>
      <c r="H14" s="9"/>
    </row>
    <row r="15" spans="1:8" ht="15" thickBot="1" x14ac:dyDescent="0.35">
      <c r="A15" s="8">
        <v>46154</v>
      </c>
      <c r="B15" s="9" t="s">
        <v>17</v>
      </c>
      <c r="C15" s="10">
        <v>3</v>
      </c>
      <c r="D15" s="10">
        <v>10</v>
      </c>
      <c r="E15" s="10">
        <f>SUMIFS('[2]SO Warung'!$J:$J,'[2]SO Warung'!$A:$A,A15,'[2]SO Warung'!$B:$B,B15,'[2]SO Warung'!$D:$D,C15)</f>
        <v>10</v>
      </c>
      <c r="F15" s="10">
        <f t="shared" si="0"/>
        <v>0</v>
      </c>
      <c r="G15" s="11">
        <v>2000</v>
      </c>
      <c r="H15" s="9"/>
    </row>
    <row r="16" spans="1:8" ht="15" thickBot="1" x14ac:dyDescent="0.35">
      <c r="A16" s="8">
        <v>46154</v>
      </c>
      <c r="B16" s="9" t="s">
        <v>5</v>
      </c>
      <c r="C16" s="10">
        <v>3</v>
      </c>
      <c r="D16" s="10">
        <v>10</v>
      </c>
      <c r="E16" s="10">
        <f>SUMIFS('[2]SO Warung'!$J:$J,'[2]SO Warung'!$A:$A,A16,'[2]SO Warung'!$B:$B,B16,'[2]SO Warung'!$D:$D,C16)</f>
        <v>4</v>
      </c>
      <c r="F16" s="10">
        <f t="shared" si="0"/>
        <v>6</v>
      </c>
      <c r="G16" s="11">
        <v>2500</v>
      </c>
      <c r="H16" s="9"/>
    </row>
    <row r="17" spans="1:8" ht="15" thickBot="1" x14ac:dyDescent="0.35">
      <c r="A17" s="8">
        <v>46154</v>
      </c>
      <c r="B17" s="9" t="s">
        <v>3</v>
      </c>
      <c r="C17" s="10">
        <v>3</v>
      </c>
      <c r="D17" s="10">
        <v>15</v>
      </c>
      <c r="E17" s="10">
        <f>SUMIFS('[2]SO Warung'!$J:$J,'[2]SO Warung'!$A:$A,A17,'[2]SO Warung'!$B:$B,B17,'[2]SO Warung'!$D:$D,C17)</f>
        <v>3</v>
      </c>
      <c r="F17" s="10">
        <f t="shared" si="0"/>
        <v>12</v>
      </c>
      <c r="G17" s="11">
        <v>10000</v>
      </c>
      <c r="H17" s="9"/>
    </row>
    <row r="18" spans="1:8" ht="15" thickBot="1" x14ac:dyDescent="0.35">
      <c r="A18" s="8">
        <v>46154</v>
      </c>
      <c r="B18" s="9" t="s">
        <v>18</v>
      </c>
      <c r="C18" s="10">
        <v>3</v>
      </c>
      <c r="D18" s="10">
        <v>10</v>
      </c>
      <c r="E18" s="10">
        <f>SUMIFS('[2]SO Warung'!$J:$J,'[2]SO Warung'!$A:$A,A18,'[2]SO Warung'!$B:$B,B18,'[2]SO Warung'!$D:$D,C18)</f>
        <v>0</v>
      </c>
      <c r="F18" s="10">
        <f t="shared" si="0"/>
        <v>10</v>
      </c>
      <c r="G18" s="11">
        <v>15000</v>
      </c>
      <c r="H18" s="9"/>
    </row>
    <row r="19" spans="1:8" ht="15" thickBot="1" x14ac:dyDescent="0.35">
      <c r="A19" s="8">
        <v>46154</v>
      </c>
      <c r="B19" s="9" t="s">
        <v>10</v>
      </c>
      <c r="C19" s="10">
        <v>3</v>
      </c>
      <c r="D19" s="10">
        <v>7</v>
      </c>
      <c r="E19" s="10">
        <f>SUMIFS('[2]SO Warung'!$J:$J,'[2]SO Warung'!$A:$A,A19,'[2]SO Warung'!$B:$B,B19,'[2]SO Warung'!$D:$D,C19)</f>
        <v>-3</v>
      </c>
      <c r="F19" s="10">
        <f t="shared" si="0"/>
        <v>10</v>
      </c>
      <c r="G19" s="11">
        <v>23000</v>
      </c>
      <c r="H19" s="9"/>
    </row>
    <row r="20" spans="1:8" ht="15" thickBot="1" x14ac:dyDescent="0.35">
      <c r="A20" s="8">
        <v>46154</v>
      </c>
      <c r="B20" s="9" t="s">
        <v>23</v>
      </c>
      <c r="C20" s="10">
        <v>3</v>
      </c>
      <c r="D20" s="10">
        <v>8</v>
      </c>
      <c r="E20" s="10">
        <f>SUMIFS('[2]SO Warung'!$J:$J,'[2]SO Warung'!$A:$A,A20,'[2]SO Warung'!$B:$B,B20,'[2]SO Warung'!$D:$D,C20)</f>
        <v>0</v>
      </c>
      <c r="F20" s="10">
        <f t="shared" si="0"/>
        <v>8</v>
      </c>
      <c r="G20" s="11">
        <v>11000</v>
      </c>
      <c r="H20" s="9"/>
    </row>
    <row r="21" spans="1:8" ht="15" thickBot="1" x14ac:dyDescent="0.35">
      <c r="A21" s="8">
        <v>46154</v>
      </c>
      <c r="B21" s="9" t="s">
        <v>24</v>
      </c>
      <c r="C21" s="10">
        <v>3</v>
      </c>
      <c r="D21" s="10">
        <v>6</v>
      </c>
      <c r="E21" s="10">
        <f>SUMIFS('[2]SO Warung'!$J:$J,'[2]SO Warung'!$A:$A,A21,'[2]SO Warung'!$B:$B,B21,'[2]SO Warung'!$D:$D,C21)</f>
        <v>-1</v>
      </c>
      <c r="F21" s="10">
        <f t="shared" si="0"/>
        <v>7</v>
      </c>
      <c r="G21" s="11">
        <v>14500</v>
      </c>
      <c r="H21" s="9"/>
    </row>
    <row r="22" spans="1:8" ht="15" thickBot="1" x14ac:dyDescent="0.35">
      <c r="A22" s="8">
        <v>46154</v>
      </c>
      <c r="B22" s="9" t="s">
        <v>15</v>
      </c>
      <c r="C22" s="10">
        <v>3</v>
      </c>
      <c r="D22" s="10">
        <v>20</v>
      </c>
      <c r="E22" s="10">
        <f>SUMIFS('[2]SO Warung'!$J:$J,'[2]SO Warung'!$A:$A,A22,'[2]SO Warung'!$B:$B,B22,'[2]SO Warung'!$D:$D,C22)</f>
        <v>13</v>
      </c>
      <c r="F22" s="10">
        <f t="shared" si="0"/>
        <v>7</v>
      </c>
      <c r="G22" s="11">
        <v>3500</v>
      </c>
      <c r="H22" s="9"/>
    </row>
    <row r="23" spans="1:8" ht="15" thickBot="1" x14ac:dyDescent="0.35">
      <c r="A23" s="8">
        <v>46154</v>
      </c>
      <c r="B23" s="9" t="s">
        <v>22</v>
      </c>
      <c r="C23" s="10">
        <v>3</v>
      </c>
      <c r="D23" s="10">
        <v>8</v>
      </c>
      <c r="E23" s="10">
        <f>SUMIFS('[2]SO Warung'!$J:$J,'[2]SO Warung'!$A:$A,A23,'[2]SO Warung'!$B:$B,B23,'[2]SO Warung'!$D:$D,C23)</f>
        <v>0</v>
      </c>
      <c r="F23" s="10">
        <f t="shared" si="0"/>
        <v>8</v>
      </c>
      <c r="G23" s="11">
        <v>5500</v>
      </c>
      <c r="H23" s="9"/>
    </row>
    <row r="24" spans="1:8" ht="15" thickBot="1" x14ac:dyDescent="0.35">
      <c r="A24" s="8">
        <v>46154</v>
      </c>
      <c r="B24" s="9" t="s">
        <v>25</v>
      </c>
      <c r="C24" s="10">
        <v>3</v>
      </c>
      <c r="D24" s="10">
        <v>3</v>
      </c>
      <c r="E24" s="10">
        <f>SUMIFS('[2]SO Warung'!$J:$J,'[2]SO Warung'!$A:$A,A24,'[2]SO Warung'!$B:$B,B24,'[2]SO Warung'!$D:$D,C24)</f>
        <v>-1</v>
      </c>
      <c r="F24" s="10">
        <f t="shared" si="0"/>
        <v>4</v>
      </c>
      <c r="G24" s="11">
        <v>9000</v>
      </c>
      <c r="H24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1E4C2-8D33-4A49-A8A3-3B1CECC2C48E}">
  <dimension ref="A1:H24"/>
  <sheetViews>
    <sheetView workbookViewId="0"/>
  </sheetViews>
  <sheetFormatPr defaultColWidth="20.44140625" defaultRowHeight="14.4" x14ac:dyDescent="0.3"/>
  <sheetData>
    <row r="1" spans="1:8" ht="15" thickBot="1" x14ac:dyDescent="0.35">
      <c r="A1" s="7" t="s">
        <v>26</v>
      </c>
      <c r="B1" s="7" t="s">
        <v>55</v>
      </c>
      <c r="C1" s="7" t="s">
        <v>56</v>
      </c>
      <c r="D1" s="7" t="s">
        <v>57</v>
      </c>
      <c r="E1" s="7" t="s">
        <v>58</v>
      </c>
      <c r="F1" s="7" t="s">
        <v>59</v>
      </c>
      <c r="G1" s="7" t="s">
        <v>29</v>
      </c>
      <c r="H1" s="7" t="s">
        <v>60</v>
      </c>
    </row>
    <row r="2" spans="1:8" ht="15" thickBot="1" x14ac:dyDescent="0.35">
      <c r="A2" s="8">
        <v>46154</v>
      </c>
      <c r="B2" s="9" t="s">
        <v>4</v>
      </c>
      <c r="C2" s="10">
        <v>8</v>
      </c>
      <c r="D2" s="10">
        <v>5</v>
      </c>
      <c r="E2" s="12">
        <f>SUMIFS('[2]SO Warung'!$J:$J,'[2]SO Warung'!$A:$A,A2,'[2]SO Warung'!$B:$B,B2,'[2]SO Warung'!$D:$D,C2)</f>
        <v>0</v>
      </c>
      <c r="F2" s="12">
        <f>D2-E2</f>
        <v>5</v>
      </c>
      <c r="G2" s="11">
        <v>35000</v>
      </c>
      <c r="H2" s="9"/>
    </row>
    <row r="3" spans="1:8" ht="15" thickBot="1" x14ac:dyDescent="0.35">
      <c r="A3" s="8">
        <v>46154</v>
      </c>
      <c r="B3" s="9" t="s">
        <v>13</v>
      </c>
      <c r="C3" s="10">
        <v>8</v>
      </c>
      <c r="D3" s="10">
        <v>6</v>
      </c>
      <c r="E3" s="12">
        <f>SUMIFS('[2]SO Warung'!$J:$J,'[2]SO Warung'!$A:$A,A3,'[2]SO Warung'!$B:$B,B3,'[2]SO Warung'!$D:$D,C3)</f>
        <v>5</v>
      </c>
      <c r="F3" s="12">
        <f t="shared" ref="F3:F24" si="0">D3-E3</f>
        <v>1</v>
      </c>
      <c r="G3" s="11">
        <v>23000</v>
      </c>
      <c r="H3" s="9"/>
    </row>
    <row r="4" spans="1:8" ht="15" thickBot="1" x14ac:dyDescent="0.35">
      <c r="A4" s="8">
        <v>46154</v>
      </c>
      <c r="B4" s="9" t="s">
        <v>12</v>
      </c>
      <c r="C4" s="10">
        <v>8</v>
      </c>
      <c r="D4" s="10">
        <v>2</v>
      </c>
      <c r="E4" s="12">
        <f>SUMIFS('[2]SO Warung'!$J:$J,'[2]SO Warung'!$A:$A,A4,'[2]SO Warung'!$B:$B,B4,'[2]SO Warung'!$D:$D,C4)</f>
        <v>0</v>
      </c>
      <c r="F4" s="12">
        <f t="shared" si="0"/>
        <v>2</v>
      </c>
      <c r="G4" s="11">
        <v>21000</v>
      </c>
      <c r="H4" s="9"/>
    </row>
    <row r="5" spans="1:8" ht="27.6" thickBot="1" x14ac:dyDescent="0.35">
      <c r="A5" s="8">
        <v>46154</v>
      </c>
      <c r="B5" s="9" t="s">
        <v>11</v>
      </c>
      <c r="C5" s="10">
        <v>8</v>
      </c>
      <c r="D5" s="10">
        <v>3</v>
      </c>
      <c r="E5" s="12">
        <f>SUMIFS('[2]SO Warung'!$J:$J,'[2]SO Warung'!$A:$A,A5,'[2]SO Warung'!$B:$B,B5,'[2]SO Warung'!$D:$D,C5)</f>
        <v>0</v>
      </c>
      <c r="F5" s="12">
        <f t="shared" si="0"/>
        <v>3</v>
      </c>
      <c r="G5" s="11">
        <v>36000</v>
      </c>
      <c r="H5" s="9"/>
    </row>
    <row r="6" spans="1:8" ht="15" thickBot="1" x14ac:dyDescent="0.35">
      <c r="A6" s="8">
        <v>46154</v>
      </c>
      <c r="B6" s="9" t="s">
        <v>14</v>
      </c>
      <c r="C6" s="10">
        <v>8</v>
      </c>
      <c r="D6" s="10">
        <v>5</v>
      </c>
      <c r="E6" s="12">
        <f>SUMIFS('[2]SO Warung'!$J:$J,'[2]SO Warung'!$A:$A,A6,'[2]SO Warung'!$B:$B,B6,'[2]SO Warung'!$D:$D,C6)</f>
        <v>1</v>
      </c>
      <c r="F6" s="12">
        <f t="shared" si="0"/>
        <v>4</v>
      </c>
      <c r="G6" s="11">
        <v>23000</v>
      </c>
      <c r="H6" s="9"/>
    </row>
    <row r="7" spans="1:8" ht="15" thickBot="1" x14ac:dyDescent="0.35">
      <c r="A7" s="8">
        <v>46154</v>
      </c>
      <c r="B7" s="9" t="s">
        <v>7</v>
      </c>
      <c r="C7" s="10">
        <v>8</v>
      </c>
      <c r="D7" s="10">
        <v>6</v>
      </c>
      <c r="E7" s="12">
        <f>SUMIFS('[2]SO Warung'!$J:$J,'[2]SO Warung'!$A:$A,A7,'[2]SO Warung'!$B:$B,B7,'[2]SO Warung'!$D:$D,C7)</f>
        <v>1</v>
      </c>
      <c r="F7" s="12">
        <f t="shared" si="0"/>
        <v>5</v>
      </c>
      <c r="G7" s="11">
        <v>15000</v>
      </c>
      <c r="H7" s="9"/>
    </row>
    <row r="8" spans="1:8" ht="15" thickBot="1" x14ac:dyDescent="0.35">
      <c r="A8" s="8">
        <v>46154</v>
      </c>
      <c r="B8" s="9" t="s">
        <v>16</v>
      </c>
      <c r="C8" s="10">
        <v>8</v>
      </c>
      <c r="D8" s="10">
        <v>6</v>
      </c>
      <c r="E8" s="12">
        <f>SUMIFS('[2]SO Warung'!$J:$J,'[2]SO Warung'!$A:$A,A8,'[2]SO Warung'!$B:$B,B8,'[2]SO Warung'!$D:$D,C8)</f>
        <v>0</v>
      </c>
      <c r="F8" s="12">
        <f t="shared" si="0"/>
        <v>6</v>
      </c>
      <c r="G8" s="11">
        <v>18000</v>
      </c>
      <c r="H8" s="9"/>
    </row>
    <row r="9" spans="1:8" ht="15" thickBot="1" x14ac:dyDescent="0.35">
      <c r="A9" s="8">
        <v>46154</v>
      </c>
      <c r="B9" s="9" t="s">
        <v>6</v>
      </c>
      <c r="C9" s="10">
        <v>8</v>
      </c>
      <c r="D9" s="10">
        <v>2</v>
      </c>
      <c r="E9" s="12">
        <f>SUMIFS('[2]SO Warung'!$J:$J,'[2]SO Warung'!$A:$A,A9,'[2]SO Warung'!$B:$B,B9,'[2]SO Warung'!$D:$D,C9)</f>
        <v>0</v>
      </c>
      <c r="F9" s="12">
        <f t="shared" si="0"/>
        <v>2</v>
      </c>
      <c r="G9" s="11">
        <v>21000</v>
      </c>
      <c r="H9" s="9"/>
    </row>
    <row r="10" spans="1:8" ht="15" thickBot="1" x14ac:dyDescent="0.35">
      <c r="A10" s="8">
        <v>46154</v>
      </c>
      <c r="B10" s="9" t="s">
        <v>8</v>
      </c>
      <c r="C10" s="10">
        <v>8</v>
      </c>
      <c r="D10" s="10">
        <v>4</v>
      </c>
      <c r="E10" s="12">
        <f>SUMIFS('[2]SO Warung'!$J:$J,'[2]SO Warung'!$A:$A,A10,'[2]SO Warung'!$B:$B,B10,'[2]SO Warung'!$D:$D,C10)</f>
        <v>0</v>
      </c>
      <c r="F10" s="12">
        <f t="shared" si="0"/>
        <v>4</v>
      </c>
      <c r="G10" s="11">
        <v>18000</v>
      </c>
      <c r="H10" s="9"/>
    </row>
    <row r="11" spans="1:8" ht="15" thickBot="1" x14ac:dyDescent="0.35">
      <c r="A11" s="8">
        <v>46154</v>
      </c>
      <c r="B11" s="9" t="s">
        <v>9</v>
      </c>
      <c r="C11" s="10">
        <v>8</v>
      </c>
      <c r="D11" s="10">
        <v>3</v>
      </c>
      <c r="E11" s="12">
        <f>SUMIFS('[2]SO Warung'!$J:$J,'[2]SO Warung'!$A:$A,A11,'[2]SO Warung'!$B:$B,B11,'[2]SO Warung'!$D:$D,C11)</f>
        <v>3</v>
      </c>
      <c r="F11" s="12">
        <f t="shared" si="0"/>
        <v>0</v>
      </c>
      <c r="G11" s="11">
        <v>21000</v>
      </c>
      <c r="H11" s="9"/>
    </row>
    <row r="12" spans="1:8" ht="15" thickBot="1" x14ac:dyDescent="0.35">
      <c r="A12" s="8">
        <v>46154</v>
      </c>
      <c r="B12" s="9" t="s">
        <v>20</v>
      </c>
      <c r="C12" s="10">
        <v>8</v>
      </c>
      <c r="D12" s="10">
        <v>2</v>
      </c>
      <c r="E12" s="12">
        <f>SUMIFS('[2]SO Warung'!$J:$J,'[2]SO Warung'!$A:$A,A12,'[2]SO Warung'!$B:$B,B12,'[2]SO Warung'!$D:$D,C12)</f>
        <v>0</v>
      </c>
      <c r="F12" s="12">
        <f t="shared" si="0"/>
        <v>2</v>
      </c>
      <c r="G12" s="11">
        <v>35000</v>
      </c>
      <c r="H12" s="9"/>
    </row>
    <row r="13" spans="1:8" ht="15" thickBot="1" x14ac:dyDescent="0.35">
      <c r="A13" s="8">
        <v>46154</v>
      </c>
      <c r="B13" s="9" t="s">
        <v>21</v>
      </c>
      <c r="C13" s="10">
        <v>8</v>
      </c>
      <c r="D13" s="10">
        <v>4</v>
      </c>
      <c r="E13" s="12">
        <f>SUMIFS('[2]SO Warung'!$J:$J,'[2]SO Warung'!$A:$A,A13,'[2]SO Warung'!$B:$B,B13,'[2]SO Warung'!$D:$D,C13)</f>
        <v>2</v>
      </c>
      <c r="F13" s="12">
        <f t="shared" si="0"/>
        <v>2</v>
      </c>
      <c r="G13" s="11">
        <v>40000</v>
      </c>
      <c r="H13" s="9"/>
    </row>
    <row r="14" spans="1:8" ht="15" thickBot="1" x14ac:dyDescent="0.35">
      <c r="A14" s="8">
        <v>46154</v>
      </c>
      <c r="B14" s="9" t="s">
        <v>19</v>
      </c>
      <c r="C14" s="10">
        <v>8</v>
      </c>
      <c r="D14" s="10">
        <v>12</v>
      </c>
      <c r="E14" s="12">
        <f>SUMIFS('[2]SO Warung'!$J:$J,'[2]SO Warung'!$A:$A,A14,'[2]SO Warung'!$B:$B,B14,'[2]SO Warung'!$D:$D,C14)</f>
        <v>1</v>
      </c>
      <c r="F14" s="12">
        <f t="shared" si="0"/>
        <v>11</v>
      </c>
      <c r="G14" s="11">
        <v>2500</v>
      </c>
      <c r="H14" s="9"/>
    </row>
    <row r="15" spans="1:8" ht="15" thickBot="1" x14ac:dyDescent="0.35">
      <c r="A15" s="8">
        <v>46154</v>
      </c>
      <c r="B15" s="9" t="s">
        <v>17</v>
      </c>
      <c r="C15" s="10">
        <v>8</v>
      </c>
      <c r="D15" s="10">
        <v>10</v>
      </c>
      <c r="E15" s="12">
        <f>SUMIFS('[2]SO Warung'!$J:$J,'[2]SO Warung'!$A:$A,A15,'[2]SO Warung'!$B:$B,B15,'[2]SO Warung'!$D:$D,C15)</f>
        <v>1</v>
      </c>
      <c r="F15" s="12">
        <f t="shared" si="0"/>
        <v>9</v>
      </c>
      <c r="G15" s="11">
        <v>2000</v>
      </c>
      <c r="H15" s="9"/>
    </row>
    <row r="16" spans="1:8" ht="15" thickBot="1" x14ac:dyDescent="0.35">
      <c r="A16" s="8">
        <v>46154</v>
      </c>
      <c r="B16" s="9" t="s">
        <v>5</v>
      </c>
      <c r="C16" s="10">
        <v>8</v>
      </c>
      <c r="D16" s="10">
        <v>10</v>
      </c>
      <c r="E16" s="12">
        <f>SUMIFS('[2]SO Warung'!$J:$J,'[2]SO Warung'!$A:$A,A16,'[2]SO Warung'!$B:$B,B16,'[2]SO Warung'!$D:$D,C16)</f>
        <v>2</v>
      </c>
      <c r="F16" s="12">
        <f t="shared" si="0"/>
        <v>8</v>
      </c>
      <c r="G16" s="11">
        <v>2500</v>
      </c>
      <c r="H16" s="9"/>
    </row>
    <row r="17" spans="1:8" ht="15" thickBot="1" x14ac:dyDescent="0.35">
      <c r="A17" s="8">
        <v>46154</v>
      </c>
      <c r="B17" s="9" t="s">
        <v>3</v>
      </c>
      <c r="C17" s="10">
        <v>8</v>
      </c>
      <c r="D17" s="10">
        <v>15</v>
      </c>
      <c r="E17" s="12">
        <f>SUMIFS('[2]SO Warung'!$J:$J,'[2]SO Warung'!$A:$A,A17,'[2]SO Warung'!$B:$B,B17,'[2]SO Warung'!$D:$D,C17)</f>
        <v>4</v>
      </c>
      <c r="F17" s="12">
        <f t="shared" si="0"/>
        <v>11</v>
      </c>
      <c r="G17" s="11">
        <v>10000</v>
      </c>
      <c r="H17" s="9"/>
    </row>
    <row r="18" spans="1:8" ht="15" thickBot="1" x14ac:dyDescent="0.35">
      <c r="A18" s="8">
        <v>46154</v>
      </c>
      <c r="B18" s="9" t="s">
        <v>18</v>
      </c>
      <c r="C18" s="10">
        <v>8</v>
      </c>
      <c r="D18" s="10">
        <v>10</v>
      </c>
      <c r="E18" s="12">
        <f>SUMIFS('[2]SO Warung'!$J:$J,'[2]SO Warung'!$A:$A,A18,'[2]SO Warung'!$B:$B,B18,'[2]SO Warung'!$D:$D,C18)</f>
        <v>3</v>
      </c>
      <c r="F18" s="12">
        <f t="shared" si="0"/>
        <v>7</v>
      </c>
      <c r="G18" s="11">
        <v>15000</v>
      </c>
      <c r="H18" s="9"/>
    </row>
    <row r="19" spans="1:8" ht="15" thickBot="1" x14ac:dyDescent="0.35">
      <c r="A19" s="8">
        <v>46154</v>
      </c>
      <c r="B19" s="9" t="s">
        <v>10</v>
      </c>
      <c r="C19" s="10">
        <v>8</v>
      </c>
      <c r="D19" s="10">
        <v>7</v>
      </c>
      <c r="E19" s="12">
        <f>SUMIFS('[2]SO Warung'!$J:$J,'[2]SO Warung'!$A:$A,A19,'[2]SO Warung'!$B:$B,B19,'[2]SO Warung'!$D:$D,C19)</f>
        <v>0</v>
      </c>
      <c r="F19" s="12">
        <f t="shared" si="0"/>
        <v>7</v>
      </c>
      <c r="G19" s="11">
        <v>23000</v>
      </c>
      <c r="H19" s="9"/>
    </row>
    <row r="20" spans="1:8" ht="15" thickBot="1" x14ac:dyDescent="0.35">
      <c r="A20" s="8">
        <v>46154</v>
      </c>
      <c r="B20" s="9" t="s">
        <v>23</v>
      </c>
      <c r="C20" s="10">
        <v>8</v>
      </c>
      <c r="D20" s="10">
        <v>8</v>
      </c>
      <c r="E20" s="12">
        <f>SUMIFS('[2]SO Warung'!$J:$J,'[2]SO Warung'!$A:$A,A20,'[2]SO Warung'!$B:$B,B20,'[2]SO Warung'!$D:$D,C20)</f>
        <v>3</v>
      </c>
      <c r="F20" s="12">
        <f t="shared" si="0"/>
        <v>5</v>
      </c>
      <c r="G20" s="11">
        <v>11000</v>
      </c>
      <c r="H20" s="9"/>
    </row>
    <row r="21" spans="1:8" ht="15" thickBot="1" x14ac:dyDescent="0.35">
      <c r="A21" s="8">
        <v>46154</v>
      </c>
      <c r="B21" s="9" t="s">
        <v>24</v>
      </c>
      <c r="C21" s="10">
        <v>8</v>
      </c>
      <c r="D21" s="10">
        <v>6</v>
      </c>
      <c r="E21" s="12">
        <f>SUMIFS('[2]SO Warung'!$J:$J,'[2]SO Warung'!$A:$A,A21,'[2]SO Warung'!$B:$B,B21,'[2]SO Warung'!$D:$D,C21)</f>
        <v>2</v>
      </c>
      <c r="F21" s="12">
        <f t="shared" si="0"/>
        <v>4</v>
      </c>
      <c r="G21" s="11">
        <v>14500</v>
      </c>
      <c r="H21" s="9"/>
    </row>
    <row r="22" spans="1:8" ht="15" thickBot="1" x14ac:dyDescent="0.35">
      <c r="A22" s="8">
        <v>46154</v>
      </c>
      <c r="B22" s="9" t="s">
        <v>15</v>
      </c>
      <c r="C22" s="10">
        <v>8</v>
      </c>
      <c r="D22" s="10">
        <v>20</v>
      </c>
      <c r="E22" s="12">
        <f>SUMIFS('[2]SO Warung'!$J:$J,'[2]SO Warung'!$A:$A,A22,'[2]SO Warung'!$B:$B,B22,'[2]SO Warung'!$D:$D,C22)</f>
        <v>2</v>
      </c>
      <c r="F22" s="12">
        <f t="shared" si="0"/>
        <v>18</v>
      </c>
      <c r="G22" s="11">
        <v>3500</v>
      </c>
      <c r="H22" s="9"/>
    </row>
    <row r="23" spans="1:8" ht="15" thickBot="1" x14ac:dyDescent="0.35">
      <c r="A23" s="8">
        <v>46154</v>
      </c>
      <c r="B23" s="9" t="s">
        <v>22</v>
      </c>
      <c r="C23" s="10">
        <v>8</v>
      </c>
      <c r="D23" s="10">
        <v>8</v>
      </c>
      <c r="E23" s="12">
        <f>SUMIFS('[2]SO Warung'!$J:$J,'[2]SO Warung'!$A:$A,A23,'[2]SO Warung'!$B:$B,B23,'[2]SO Warung'!$D:$D,C23)</f>
        <v>1</v>
      </c>
      <c r="F23" s="12">
        <f t="shared" si="0"/>
        <v>7</v>
      </c>
      <c r="G23" s="11">
        <v>5500</v>
      </c>
      <c r="H23" s="9"/>
    </row>
    <row r="24" spans="1:8" ht="15" thickBot="1" x14ac:dyDescent="0.35">
      <c r="A24" s="8">
        <v>46154</v>
      </c>
      <c r="B24" s="9" t="s">
        <v>25</v>
      </c>
      <c r="C24" s="10">
        <v>8</v>
      </c>
      <c r="D24" s="10">
        <v>3</v>
      </c>
      <c r="E24" s="12">
        <f>SUMIFS('[2]SO Warung'!$J:$J,'[2]SO Warung'!$A:$A,A24,'[2]SO Warung'!$B:$B,B24,'[2]SO Warung'!$D:$D,C24)</f>
        <v>2</v>
      </c>
      <c r="F24" s="12">
        <f t="shared" si="0"/>
        <v>1</v>
      </c>
      <c r="G24" s="11">
        <v>9000</v>
      </c>
      <c r="H24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DE65A-0DCB-4402-A06F-2C98A2163C5D}">
  <dimension ref="A1:H24"/>
  <sheetViews>
    <sheetView topLeftCell="A5" workbookViewId="0"/>
  </sheetViews>
  <sheetFormatPr defaultColWidth="20.6640625" defaultRowHeight="14.4" x14ac:dyDescent="0.3"/>
  <cols>
    <col min="1" max="16384" width="20.6640625" style="21"/>
  </cols>
  <sheetData>
    <row r="1" spans="1:8" ht="15" thickBot="1" x14ac:dyDescent="0.35">
      <c r="A1" s="20" t="s">
        <v>26</v>
      </c>
      <c r="B1" s="20" t="s">
        <v>55</v>
      </c>
      <c r="C1" s="20" t="s">
        <v>56</v>
      </c>
      <c r="D1" s="20" t="s">
        <v>57</v>
      </c>
      <c r="E1" s="20" t="s">
        <v>58</v>
      </c>
      <c r="F1" s="20" t="s">
        <v>59</v>
      </c>
      <c r="G1" s="20" t="s">
        <v>29</v>
      </c>
      <c r="H1" s="20" t="s">
        <v>60</v>
      </c>
    </row>
    <row r="2" spans="1:8" ht="15" thickBot="1" x14ac:dyDescent="0.35">
      <c r="A2" s="22">
        <v>46154</v>
      </c>
      <c r="B2" s="23" t="s">
        <v>4</v>
      </c>
      <c r="C2" s="23">
        <v>9</v>
      </c>
      <c r="D2" s="23">
        <v>5</v>
      </c>
      <c r="E2" s="23">
        <f>SUMIFS('[2]SO Warung'!$J:$J,'[2]SO Warung'!$A:$A,A2,'[2]SO Warung'!$B:$B,B2,'[2]SO Warung'!$D:$D,C2)</f>
        <v>1</v>
      </c>
      <c r="F2" s="23">
        <f>D2-E2</f>
        <v>4</v>
      </c>
      <c r="G2" s="24">
        <v>35000</v>
      </c>
      <c r="H2" s="23"/>
    </row>
    <row r="3" spans="1:8" ht="15" thickBot="1" x14ac:dyDescent="0.35">
      <c r="A3" s="22">
        <v>46154</v>
      </c>
      <c r="B3" s="23" t="s">
        <v>13</v>
      </c>
      <c r="C3" s="23">
        <v>9</v>
      </c>
      <c r="D3" s="23">
        <v>6</v>
      </c>
      <c r="E3" s="23">
        <f>SUMIFS('[2]SO Warung'!$J:$J,'[2]SO Warung'!$A:$A,A3,'[2]SO Warung'!$B:$B,B3,'[2]SO Warung'!$D:$D,C3)</f>
        <v>5</v>
      </c>
      <c r="F3" s="23">
        <f t="shared" ref="F3:F24" si="0">D3-E3</f>
        <v>1</v>
      </c>
      <c r="G3" s="24">
        <v>23000</v>
      </c>
      <c r="H3" s="23"/>
    </row>
    <row r="4" spans="1:8" ht="15" thickBot="1" x14ac:dyDescent="0.35">
      <c r="A4" s="22">
        <v>46154</v>
      </c>
      <c r="B4" s="23" t="s">
        <v>12</v>
      </c>
      <c r="C4" s="23">
        <v>9</v>
      </c>
      <c r="D4" s="23">
        <v>2</v>
      </c>
      <c r="E4" s="23">
        <f>SUMIFS('[2]SO Warung'!$J:$J,'[2]SO Warung'!$A:$A,A4,'[2]SO Warung'!$B:$B,B4,'[2]SO Warung'!$D:$D,C4)</f>
        <v>0</v>
      </c>
      <c r="F4" s="23">
        <f t="shared" si="0"/>
        <v>2</v>
      </c>
      <c r="G4" s="24">
        <v>21000</v>
      </c>
      <c r="H4" s="23"/>
    </row>
    <row r="5" spans="1:8" ht="27" thickBot="1" x14ac:dyDescent="0.35">
      <c r="A5" s="22">
        <v>46154</v>
      </c>
      <c r="B5" s="23" t="s">
        <v>11</v>
      </c>
      <c r="C5" s="23">
        <v>9</v>
      </c>
      <c r="D5" s="23">
        <v>3</v>
      </c>
      <c r="E5" s="23">
        <f>SUMIFS('[2]SO Warung'!$J:$J,'[2]SO Warung'!$A:$A,A5,'[2]SO Warung'!$B:$B,B5,'[2]SO Warung'!$D:$D,C5)</f>
        <v>0</v>
      </c>
      <c r="F5" s="23">
        <f t="shared" si="0"/>
        <v>3</v>
      </c>
      <c r="G5" s="24">
        <v>36000</v>
      </c>
      <c r="H5" s="23"/>
    </row>
    <row r="6" spans="1:8" ht="15" thickBot="1" x14ac:dyDescent="0.35">
      <c r="A6" s="22">
        <v>46154</v>
      </c>
      <c r="B6" s="23" t="s">
        <v>14</v>
      </c>
      <c r="C6" s="23">
        <v>9</v>
      </c>
      <c r="D6" s="23">
        <v>5</v>
      </c>
      <c r="E6" s="23">
        <f>SUMIFS('[2]SO Warung'!$J:$J,'[2]SO Warung'!$A:$A,A6,'[2]SO Warung'!$B:$B,B6,'[2]SO Warung'!$D:$D,C6)</f>
        <v>7</v>
      </c>
      <c r="F6" s="23">
        <f t="shared" si="0"/>
        <v>-2</v>
      </c>
      <c r="G6" s="24">
        <v>23000</v>
      </c>
      <c r="H6" s="23"/>
    </row>
    <row r="7" spans="1:8" ht="15" thickBot="1" x14ac:dyDescent="0.35">
      <c r="A7" s="22">
        <v>46154</v>
      </c>
      <c r="B7" s="23" t="s">
        <v>7</v>
      </c>
      <c r="C7" s="23">
        <v>9</v>
      </c>
      <c r="D7" s="23">
        <v>6</v>
      </c>
      <c r="E7" s="23">
        <f>SUMIFS('[2]SO Warung'!$J:$J,'[2]SO Warung'!$A:$A,A7,'[2]SO Warung'!$B:$B,B7,'[2]SO Warung'!$D:$D,C7)</f>
        <v>0</v>
      </c>
      <c r="F7" s="23">
        <f t="shared" si="0"/>
        <v>6</v>
      </c>
      <c r="G7" s="24">
        <v>15000</v>
      </c>
      <c r="H7" s="23"/>
    </row>
    <row r="8" spans="1:8" ht="15" thickBot="1" x14ac:dyDescent="0.35">
      <c r="A8" s="22">
        <v>46154</v>
      </c>
      <c r="B8" s="23" t="s">
        <v>16</v>
      </c>
      <c r="C8" s="23">
        <v>9</v>
      </c>
      <c r="D8" s="23">
        <v>6</v>
      </c>
      <c r="E8" s="23">
        <f>SUMIFS('[2]SO Warung'!$J:$J,'[2]SO Warung'!$A:$A,A8,'[2]SO Warung'!$B:$B,B8,'[2]SO Warung'!$D:$D,C8)</f>
        <v>0</v>
      </c>
      <c r="F8" s="23">
        <f t="shared" si="0"/>
        <v>6</v>
      </c>
      <c r="G8" s="24">
        <v>18000</v>
      </c>
      <c r="H8" s="23"/>
    </row>
    <row r="9" spans="1:8" ht="15" thickBot="1" x14ac:dyDescent="0.35">
      <c r="A9" s="22">
        <v>46154</v>
      </c>
      <c r="B9" s="23" t="s">
        <v>6</v>
      </c>
      <c r="C9" s="23">
        <v>9</v>
      </c>
      <c r="D9" s="23">
        <v>2</v>
      </c>
      <c r="E9" s="23">
        <f>SUMIFS('[2]SO Warung'!$J:$J,'[2]SO Warung'!$A:$A,A9,'[2]SO Warung'!$B:$B,B9,'[2]SO Warung'!$D:$D,C9)</f>
        <v>0</v>
      </c>
      <c r="F9" s="23">
        <f t="shared" si="0"/>
        <v>2</v>
      </c>
      <c r="G9" s="24">
        <v>21000</v>
      </c>
      <c r="H9" s="23"/>
    </row>
    <row r="10" spans="1:8" ht="15" thickBot="1" x14ac:dyDescent="0.35">
      <c r="A10" s="22">
        <v>46154</v>
      </c>
      <c r="B10" s="23" t="s">
        <v>8</v>
      </c>
      <c r="C10" s="23">
        <v>9</v>
      </c>
      <c r="D10" s="23">
        <v>4</v>
      </c>
      <c r="E10" s="23">
        <f>SUMIFS('[2]SO Warung'!$J:$J,'[2]SO Warung'!$A:$A,A10,'[2]SO Warung'!$B:$B,B10,'[2]SO Warung'!$D:$D,C10)</f>
        <v>0</v>
      </c>
      <c r="F10" s="23">
        <f t="shared" si="0"/>
        <v>4</v>
      </c>
      <c r="G10" s="24">
        <v>18000</v>
      </c>
      <c r="H10" s="23"/>
    </row>
    <row r="11" spans="1:8" ht="15" thickBot="1" x14ac:dyDescent="0.35">
      <c r="A11" s="22">
        <v>46154</v>
      </c>
      <c r="B11" s="23" t="s">
        <v>9</v>
      </c>
      <c r="C11" s="23">
        <v>9</v>
      </c>
      <c r="D11" s="23">
        <v>3</v>
      </c>
      <c r="E11" s="23">
        <f>SUMIFS('[2]SO Warung'!$J:$J,'[2]SO Warung'!$A:$A,A11,'[2]SO Warung'!$B:$B,B11,'[2]SO Warung'!$D:$D,C11)</f>
        <v>1</v>
      </c>
      <c r="F11" s="23">
        <f t="shared" si="0"/>
        <v>2</v>
      </c>
      <c r="G11" s="24">
        <v>21000</v>
      </c>
      <c r="H11" s="23"/>
    </row>
    <row r="12" spans="1:8" ht="15" thickBot="1" x14ac:dyDescent="0.35">
      <c r="A12" s="22">
        <v>46154</v>
      </c>
      <c r="B12" s="23" t="s">
        <v>20</v>
      </c>
      <c r="C12" s="23">
        <v>9</v>
      </c>
      <c r="D12" s="23">
        <v>2</v>
      </c>
      <c r="E12" s="23">
        <f>SUMIFS('[2]SO Warung'!$J:$J,'[2]SO Warung'!$A:$A,A12,'[2]SO Warung'!$B:$B,B12,'[2]SO Warung'!$D:$D,C12)</f>
        <v>0</v>
      </c>
      <c r="F12" s="23">
        <f t="shared" si="0"/>
        <v>2</v>
      </c>
      <c r="G12" s="24">
        <v>35000</v>
      </c>
      <c r="H12" s="23"/>
    </row>
    <row r="13" spans="1:8" ht="15" thickBot="1" x14ac:dyDescent="0.35">
      <c r="A13" s="22">
        <v>46154</v>
      </c>
      <c r="B13" s="23" t="s">
        <v>21</v>
      </c>
      <c r="C13" s="23">
        <v>9</v>
      </c>
      <c r="D13" s="23">
        <v>4</v>
      </c>
      <c r="E13" s="23">
        <f>SUMIFS('[2]SO Warung'!$J:$J,'[2]SO Warung'!$A:$A,A13,'[2]SO Warung'!$B:$B,B13,'[2]SO Warung'!$D:$D,C13)</f>
        <v>0</v>
      </c>
      <c r="F13" s="23">
        <f t="shared" si="0"/>
        <v>4</v>
      </c>
      <c r="G13" s="24">
        <v>40000</v>
      </c>
      <c r="H13" s="23"/>
    </row>
    <row r="14" spans="1:8" ht="15" thickBot="1" x14ac:dyDescent="0.35">
      <c r="A14" s="22">
        <v>46154</v>
      </c>
      <c r="B14" s="23" t="s">
        <v>19</v>
      </c>
      <c r="C14" s="23">
        <v>9</v>
      </c>
      <c r="D14" s="23">
        <v>12</v>
      </c>
      <c r="E14" s="23">
        <f>SUMIFS('[2]SO Warung'!$J:$J,'[2]SO Warung'!$A:$A,A14,'[2]SO Warung'!$B:$B,B14,'[2]SO Warung'!$D:$D,C14)</f>
        <v>2</v>
      </c>
      <c r="F14" s="23">
        <f t="shared" si="0"/>
        <v>10</v>
      </c>
      <c r="G14" s="24">
        <v>2500</v>
      </c>
      <c r="H14" s="23"/>
    </row>
    <row r="15" spans="1:8" ht="15" thickBot="1" x14ac:dyDescent="0.35">
      <c r="A15" s="22">
        <v>46154</v>
      </c>
      <c r="B15" s="23" t="s">
        <v>17</v>
      </c>
      <c r="C15" s="23">
        <v>9</v>
      </c>
      <c r="D15" s="23">
        <v>10</v>
      </c>
      <c r="E15" s="23">
        <f>SUMIFS('[2]SO Warung'!$J:$J,'[2]SO Warung'!$A:$A,A15,'[2]SO Warung'!$B:$B,B15,'[2]SO Warung'!$D:$D,C15)</f>
        <v>7</v>
      </c>
      <c r="F15" s="23">
        <f t="shared" si="0"/>
        <v>3</v>
      </c>
      <c r="G15" s="24">
        <v>2000</v>
      </c>
      <c r="H15" s="23"/>
    </row>
    <row r="16" spans="1:8" ht="15" thickBot="1" x14ac:dyDescent="0.35">
      <c r="A16" s="22">
        <v>46154</v>
      </c>
      <c r="B16" s="23" t="s">
        <v>5</v>
      </c>
      <c r="C16" s="23">
        <v>9</v>
      </c>
      <c r="D16" s="23">
        <v>10</v>
      </c>
      <c r="E16" s="23">
        <f>SUMIFS('[2]SO Warung'!$J:$J,'[2]SO Warung'!$A:$A,A16,'[2]SO Warung'!$B:$B,B16,'[2]SO Warung'!$D:$D,C16)</f>
        <v>3</v>
      </c>
      <c r="F16" s="23">
        <f t="shared" si="0"/>
        <v>7</v>
      </c>
      <c r="G16" s="24">
        <v>2500</v>
      </c>
      <c r="H16" s="23"/>
    </row>
    <row r="17" spans="1:8" ht="15" thickBot="1" x14ac:dyDescent="0.35">
      <c r="A17" s="22">
        <v>46154</v>
      </c>
      <c r="B17" s="23" t="s">
        <v>3</v>
      </c>
      <c r="C17" s="23">
        <v>9</v>
      </c>
      <c r="D17" s="23">
        <v>15</v>
      </c>
      <c r="E17" s="23">
        <f>SUMIFS('[2]SO Warung'!$J:$J,'[2]SO Warung'!$A:$A,A17,'[2]SO Warung'!$B:$B,B17,'[2]SO Warung'!$D:$D,C17)</f>
        <v>0</v>
      </c>
      <c r="F17" s="23">
        <f t="shared" si="0"/>
        <v>15</v>
      </c>
      <c r="G17" s="24">
        <v>10000</v>
      </c>
      <c r="H17" s="23"/>
    </row>
    <row r="18" spans="1:8" ht="15" thickBot="1" x14ac:dyDescent="0.35">
      <c r="A18" s="22">
        <v>46154</v>
      </c>
      <c r="B18" s="23" t="s">
        <v>18</v>
      </c>
      <c r="C18" s="23">
        <v>9</v>
      </c>
      <c r="D18" s="23">
        <v>10</v>
      </c>
      <c r="E18" s="23">
        <f>SUMIFS('[2]SO Warung'!$J:$J,'[2]SO Warung'!$A:$A,A18,'[2]SO Warung'!$B:$B,B18,'[2]SO Warung'!$D:$D,C18)</f>
        <v>9</v>
      </c>
      <c r="F18" s="23">
        <f t="shared" si="0"/>
        <v>1</v>
      </c>
      <c r="G18" s="24">
        <v>15000</v>
      </c>
      <c r="H18" s="23"/>
    </row>
    <row r="19" spans="1:8" ht="15" thickBot="1" x14ac:dyDescent="0.35">
      <c r="A19" s="22">
        <v>46154</v>
      </c>
      <c r="B19" s="23" t="s">
        <v>10</v>
      </c>
      <c r="C19" s="23">
        <v>9</v>
      </c>
      <c r="D19" s="23">
        <v>7</v>
      </c>
      <c r="E19" s="23">
        <f>SUMIFS('[2]SO Warung'!$J:$J,'[2]SO Warung'!$A:$A,A19,'[2]SO Warung'!$B:$B,B19,'[2]SO Warung'!$D:$D,C19)</f>
        <v>0</v>
      </c>
      <c r="F19" s="23">
        <f t="shared" si="0"/>
        <v>7</v>
      </c>
      <c r="G19" s="24">
        <v>23000</v>
      </c>
      <c r="H19" s="23"/>
    </row>
    <row r="20" spans="1:8" ht="15" thickBot="1" x14ac:dyDescent="0.35">
      <c r="A20" s="22">
        <v>46154</v>
      </c>
      <c r="B20" s="23" t="s">
        <v>23</v>
      </c>
      <c r="C20" s="23">
        <v>9</v>
      </c>
      <c r="D20" s="23">
        <v>8</v>
      </c>
      <c r="E20" s="23">
        <f>SUMIFS('[2]SO Warung'!$J:$J,'[2]SO Warung'!$A:$A,A20,'[2]SO Warung'!$B:$B,B20,'[2]SO Warung'!$D:$D,C20)</f>
        <v>3</v>
      </c>
      <c r="F20" s="23">
        <f t="shared" si="0"/>
        <v>5</v>
      </c>
      <c r="G20" s="24">
        <v>11000</v>
      </c>
      <c r="H20" s="23"/>
    </row>
    <row r="21" spans="1:8" ht="15" thickBot="1" x14ac:dyDescent="0.35">
      <c r="A21" s="22">
        <v>46154</v>
      </c>
      <c r="B21" s="23" t="s">
        <v>24</v>
      </c>
      <c r="C21" s="23">
        <v>9</v>
      </c>
      <c r="D21" s="23">
        <v>6</v>
      </c>
      <c r="E21" s="23">
        <f>SUMIFS('[2]SO Warung'!$J:$J,'[2]SO Warung'!$A:$A,A21,'[2]SO Warung'!$B:$B,B21,'[2]SO Warung'!$D:$D,C21)</f>
        <v>1</v>
      </c>
      <c r="F21" s="23">
        <f t="shared" si="0"/>
        <v>5</v>
      </c>
      <c r="G21" s="24">
        <v>14500</v>
      </c>
      <c r="H21" s="23"/>
    </row>
    <row r="22" spans="1:8" ht="15" thickBot="1" x14ac:dyDescent="0.35">
      <c r="A22" s="22">
        <v>46154</v>
      </c>
      <c r="B22" s="23" t="s">
        <v>15</v>
      </c>
      <c r="C22" s="23">
        <v>9</v>
      </c>
      <c r="D22" s="23">
        <v>20</v>
      </c>
      <c r="E22" s="23">
        <f>SUMIFS('[2]SO Warung'!$J:$J,'[2]SO Warung'!$A:$A,A22,'[2]SO Warung'!$B:$B,B22,'[2]SO Warung'!$D:$D,C22)</f>
        <v>4</v>
      </c>
      <c r="F22" s="23">
        <f t="shared" si="0"/>
        <v>16</v>
      </c>
      <c r="G22" s="24">
        <v>3500</v>
      </c>
      <c r="H22" s="23"/>
    </row>
    <row r="23" spans="1:8" ht="15" thickBot="1" x14ac:dyDescent="0.35">
      <c r="A23" s="22">
        <v>46154</v>
      </c>
      <c r="B23" s="23" t="s">
        <v>22</v>
      </c>
      <c r="C23" s="23">
        <v>9</v>
      </c>
      <c r="D23" s="23">
        <v>8</v>
      </c>
      <c r="E23" s="23">
        <f>SUMIFS('[2]SO Warung'!$J:$J,'[2]SO Warung'!$A:$A,A23,'[2]SO Warung'!$B:$B,B23,'[2]SO Warung'!$D:$D,C23)</f>
        <v>3</v>
      </c>
      <c r="F23" s="23">
        <f t="shared" si="0"/>
        <v>5</v>
      </c>
      <c r="G23" s="24">
        <v>5500</v>
      </c>
      <c r="H23" s="23"/>
    </row>
    <row r="24" spans="1:8" ht="15" thickBot="1" x14ac:dyDescent="0.35">
      <c r="A24" s="22">
        <v>46154</v>
      </c>
      <c r="B24" s="23" t="s">
        <v>25</v>
      </c>
      <c r="C24" s="23">
        <v>9</v>
      </c>
      <c r="D24" s="23">
        <v>3</v>
      </c>
      <c r="E24" s="23">
        <f>SUMIFS('[2]SO Warung'!$J:$J,'[2]SO Warung'!$A:$A,A24,'[2]SO Warung'!$B:$B,B24,'[2]SO Warung'!$D:$D,C24)</f>
        <v>1</v>
      </c>
      <c r="F24" s="23">
        <f t="shared" si="0"/>
        <v>2</v>
      </c>
      <c r="G24" s="24">
        <v>9000</v>
      </c>
      <c r="H24" s="2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FA79A-F4E4-42E2-9FA9-4D82E435DBE3}">
  <dimension ref="A1:H323"/>
  <sheetViews>
    <sheetView tabSelected="1" topLeftCell="A16" zoomScaleNormal="100" workbookViewId="0">
      <selection activeCell="F33" sqref="F33"/>
    </sheetView>
  </sheetViews>
  <sheetFormatPr defaultRowHeight="15" customHeight="1" x14ac:dyDescent="0.3"/>
  <cols>
    <col min="1" max="1" width="8.6640625" bestFit="1" customWidth="1"/>
    <col min="2" max="2" width="28.5546875" bestFit="1" customWidth="1"/>
    <col min="4" max="4" width="25.5546875" customWidth="1"/>
    <col min="5" max="5" width="18.109375" bestFit="1" customWidth="1"/>
    <col min="6" max="6" width="12.6640625" bestFit="1" customWidth="1"/>
    <col min="7" max="7" width="28.5546875" bestFit="1" customWidth="1"/>
  </cols>
  <sheetData>
    <row r="1" spans="1:7" x14ac:dyDescent="0.3">
      <c r="A1" s="25" t="s">
        <v>26</v>
      </c>
      <c r="B1" s="26" t="s">
        <v>55</v>
      </c>
      <c r="C1" s="26" t="s">
        <v>61</v>
      </c>
      <c r="D1" s="37" t="s">
        <v>57</v>
      </c>
      <c r="E1" s="25" t="s">
        <v>62</v>
      </c>
      <c r="F1" s="44"/>
    </row>
    <row r="2" spans="1:7" x14ac:dyDescent="0.3">
      <c r="A2" s="13">
        <v>46153</v>
      </c>
      <c r="B2" s="15" t="s">
        <v>4</v>
      </c>
      <c r="C2" s="14">
        <v>0</v>
      </c>
      <c r="D2" s="38">
        <v>0</v>
      </c>
      <c r="E2" s="36">
        <f>stock_harian!I260+stock_harian!I281+stock_harian!I302</f>
        <v>12</v>
      </c>
      <c r="G2" t="e">
        <f>VLOOKUP(B2,Inventory!G44:G64:'Inventory'!H44:'Inventory'!G44:B66F64,2,FALSE)</f>
        <v>#NAME?</v>
      </c>
    </row>
    <row r="3" spans="1:7" x14ac:dyDescent="0.3">
      <c r="A3" s="13">
        <v>46153</v>
      </c>
      <c r="B3" s="15" t="s">
        <v>13</v>
      </c>
      <c r="C3" s="14">
        <v>0</v>
      </c>
      <c r="D3" s="38">
        <v>55</v>
      </c>
      <c r="E3" s="36">
        <f>stock_harian!I261+stock_harian!I282+stock_harian!I303</f>
        <v>4</v>
      </c>
    </row>
    <row r="4" spans="1:7" x14ac:dyDescent="0.3">
      <c r="A4" s="13">
        <v>46153</v>
      </c>
      <c r="B4" s="15" t="s">
        <v>12</v>
      </c>
      <c r="C4" s="14">
        <v>0</v>
      </c>
      <c r="D4" s="38">
        <v>0</v>
      </c>
      <c r="E4" s="36">
        <f>stock_harian!I262+stock_harian!I283+stock_harian!I304</f>
        <v>3</v>
      </c>
    </row>
    <row r="5" spans="1:7" x14ac:dyDescent="0.3">
      <c r="A5" s="13">
        <v>46153</v>
      </c>
      <c r="B5" s="15" t="s">
        <v>11</v>
      </c>
      <c r="C5" s="14">
        <v>0</v>
      </c>
      <c r="D5" s="38">
        <v>0</v>
      </c>
      <c r="E5" s="36">
        <f>stock_harian!I263+stock_harian!I284+stock_harian!I305</f>
        <v>5</v>
      </c>
    </row>
    <row r="6" spans="1:7" x14ac:dyDescent="0.3">
      <c r="A6" s="13">
        <v>46153</v>
      </c>
      <c r="B6" s="15" t="s">
        <v>14</v>
      </c>
      <c r="C6" s="14">
        <v>0</v>
      </c>
      <c r="D6" s="38">
        <v>15</v>
      </c>
      <c r="E6" s="36">
        <f>stock_harian!I264+stock_harian!I285+stock_harian!I306</f>
        <v>0</v>
      </c>
    </row>
    <row r="7" spans="1:7" x14ac:dyDescent="0.3">
      <c r="A7" s="13">
        <v>46153</v>
      </c>
      <c r="B7" s="15" t="s">
        <v>7</v>
      </c>
      <c r="C7" s="14">
        <v>0</v>
      </c>
      <c r="D7" s="38">
        <v>0</v>
      </c>
      <c r="E7" s="36">
        <f>stock_harian!I265+stock_harian!I286+stock_harian!I307</f>
        <v>12</v>
      </c>
    </row>
    <row r="8" spans="1:7" x14ac:dyDescent="0.3">
      <c r="A8" s="13">
        <v>46153</v>
      </c>
      <c r="B8" s="15" t="s">
        <v>8</v>
      </c>
      <c r="C8" s="14">
        <v>0</v>
      </c>
      <c r="D8" s="38">
        <v>0</v>
      </c>
      <c r="E8" s="36">
        <f>stock_harian!I266+stock_harian!I287+stock_harian!I308</f>
        <v>12</v>
      </c>
    </row>
    <row r="9" spans="1:7" x14ac:dyDescent="0.3">
      <c r="A9" s="13">
        <v>46153</v>
      </c>
      <c r="B9" s="15" t="s">
        <v>9</v>
      </c>
      <c r="C9" s="14">
        <v>0</v>
      </c>
      <c r="D9" s="38">
        <v>2</v>
      </c>
      <c r="E9" s="36">
        <f>stock_harian!I267+stock_harian!I288+stock_harian!I309</f>
        <v>10</v>
      </c>
    </row>
    <row r="10" spans="1:7" x14ac:dyDescent="0.3">
      <c r="A10" s="13">
        <v>46153</v>
      </c>
      <c r="B10" s="15" t="s">
        <v>63</v>
      </c>
      <c r="C10" s="14">
        <v>0</v>
      </c>
      <c r="D10" s="38">
        <v>15</v>
      </c>
      <c r="E10" s="36">
        <f>stock_harian!I268+stock_harian!I289+stock_harian!I310</f>
        <v>6</v>
      </c>
    </row>
    <row r="11" spans="1:7" x14ac:dyDescent="0.3">
      <c r="A11" s="13">
        <v>46153</v>
      </c>
      <c r="B11" s="15" t="s">
        <v>21</v>
      </c>
      <c r="C11" s="14">
        <v>0</v>
      </c>
      <c r="D11" s="38">
        <v>23</v>
      </c>
      <c r="E11" s="36">
        <f>stock_harian!I269+stock_harian!I290+stock_harian!I311</f>
        <v>12</v>
      </c>
    </row>
    <row r="12" spans="1:7" x14ac:dyDescent="0.3">
      <c r="A12" s="13">
        <v>46153</v>
      </c>
      <c r="B12" s="15" t="s">
        <v>19</v>
      </c>
      <c r="C12" s="14">
        <v>0</v>
      </c>
      <c r="D12" s="38">
        <v>0</v>
      </c>
      <c r="E12" s="36">
        <f>stock_harian!I270+stock_harian!I291+stock_harian!I312</f>
        <v>11</v>
      </c>
    </row>
    <row r="13" spans="1:7" x14ac:dyDescent="0.3">
      <c r="A13" s="13">
        <v>46153</v>
      </c>
      <c r="B13" s="15" t="s">
        <v>17</v>
      </c>
      <c r="C13" s="14">
        <v>0</v>
      </c>
      <c r="D13" s="38">
        <v>90</v>
      </c>
      <c r="E13" s="36">
        <f>stock_harian!I271+stock_harian!I292+stock_harian!I313</f>
        <v>30</v>
      </c>
    </row>
    <row r="14" spans="1:7" x14ac:dyDescent="0.3">
      <c r="A14" s="13">
        <v>46153</v>
      </c>
      <c r="B14" s="15" t="s">
        <v>5</v>
      </c>
      <c r="C14" s="14">
        <v>0</v>
      </c>
      <c r="D14" s="38">
        <v>90</v>
      </c>
      <c r="E14" s="36">
        <f>stock_harian!I272+stock_harian!I293+stock_harian!I314</f>
        <v>30</v>
      </c>
    </row>
    <row r="15" spans="1:7" x14ac:dyDescent="0.3">
      <c r="A15" s="13">
        <v>46153</v>
      </c>
      <c r="B15" s="15" t="s">
        <v>3</v>
      </c>
      <c r="C15" s="14">
        <v>0</v>
      </c>
      <c r="D15" s="38">
        <v>6</v>
      </c>
      <c r="E15" s="36">
        <f>stock_harian!I273+stock_harian!I294+stock_harian!I315</f>
        <v>45</v>
      </c>
    </row>
    <row r="16" spans="1:7" x14ac:dyDescent="0.3">
      <c r="A16" s="13">
        <v>46153</v>
      </c>
      <c r="B16" s="15" t="s">
        <v>18</v>
      </c>
      <c r="C16" s="14">
        <v>0</v>
      </c>
      <c r="D16" s="38">
        <v>30</v>
      </c>
      <c r="E16" s="36">
        <f>stock_harian!I274+stock_harian!I295+stock_harian!I316</f>
        <v>30</v>
      </c>
    </row>
    <row r="17" spans="1:5" x14ac:dyDescent="0.3">
      <c r="A17" s="13">
        <v>46153</v>
      </c>
      <c r="B17" s="15" t="s">
        <v>10</v>
      </c>
      <c r="C17" s="14">
        <v>0</v>
      </c>
      <c r="D17" s="38">
        <v>0</v>
      </c>
      <c r="E17" s="36">
        <f>stock_harian!I275+stock_harian!I296+stock_harian!I317</f>
        <v>17</v>
      </c>
    </row>
    <row r="18" spans="1:5" x14ac:dyDescent="0.3">
      <c r="A18" s="13">
        <v>46153</v>
      </c>
      <c r="B18" s="15" t="s">
        <v>23</v>
      </c>
      <c r="C18" s="14">
        <v>0</v>
      </c>
      <c r="D18" s="38">
        <v>18</v>
      </c>
      <c r="E18" s="36">
        <f>stock_harian!I276+stock_harian!I297+stock_harian!I318</f>
        <v>24</v>
      </c>
    </row>
    <row r="19" spans="1:5" x14ac:dyDescent="0.3">
      <c r="A19" s="13">
        <v>46153</v>
      </c>
      <c r="B19" s="15" t="s">
        <v>24</v>
      </c>
      <c r="C19" s="14">
        <v>0</v>
      </c>
      <c r="D19" s="38">
        <v>0</v>
      </c>
      <c r="E19" s="36">
        <f>stock_harian!I277+stock_harian!I298+stock_harian!I319</f>
        <v>18</v>
      </c>
    </row>
    <row r="20" spans="1:5" x14ac:dyDescent="0.3">
      <c r="A20" s="13">
        <v>46153</v>
      </c>
      <c r="B20" s="15" t="s">
        <v>15</v>
      </c>
      <c r="C20" s="14">
        <v>0</v>
      </c>
      <c r="D20" s="38">
        <v>1</v>
      </c>
      <c r="E20" s="36">
        <f>stock_harian!I278+stock_harian!I299+stock_harian!I320</f>
        <v>60</v>
      </c>
    </row>
    <row r="21" spans="1:5" x14ac:dyDescent="0.3">
      <c r="A21" s="13">
        <v>46153</v>
      </c>
      <c r="B21" s="15" t="s">
        <v>22</v>
      </c>
      <c r="C21" s="14">
        <v>0</v>
      </c>
      <c r="D21" s="38">
        <v>28</v>
      </c>
      <c r="E21" s="36">
        <f>stock_harian!I279+stock_harian!I300+stock_harian!I321</f>
        <v>24</v>
      </c>
    </row>
    <row r="22" spans="1:5" x14ac:dyDescent="0.3">
      <c r="A22" s="13">
        <v>46153</v>
      </c>
      <c r="B22" s="15" t="s">
        <v>64</v>
      </c>
      <c r="C22" s="14">
        <v>0</v>
      </c>
      <c r="D22" s="38">
        <v>0</v>
      </c>
      <c r="E22" s="36">
        <f>stock_harian!I280+stock_harian!I301+stock_harian!I322</f>
        <v>9</v>
      </c>
    </row>
    <row r="23" spans="1:5" x14ac:dyDescent="0.3">
      <c r="A23" s="16">
        <v>46154</v>
      </c>
      <c r="B23" s="17" t="s">
        <v>4</v>
      </c>
      <c r="C23" s="17">
        <v>0</v>
      </c>
      <c r="D23" s="39">
        <v>0</v>
      </c>
      <c r="E23" s="36">
        <f>stock_harian!I323+stock_harian!I344+stock_harian!I365</f>
        <v>12</v>
      </c>
    </row>
    <row r="24" spans="1:5" x14ac:dyDescent="0.3">
      <c r="A24" s="16">
        <v>46154</v>
      </c>
      <c r="B24" s="17" t="s">
        <v>13</v>
      </c>
      <c r="C24" s="17">
        <v>0</v>
      </c>
      <c r="D24" s="39">
        <v>40</v>
      </c>
      <c r="E24" s="36">
        <f>stock_harian!I324+stock_harian!I345+stock_harian!I366</f>
        <v>19</v>
      </c>
    </row>
    <row r="25" spans="1:5" x14ac:dyDescent="0.3">
      <c r="A25" s="16">
        <v>46154</v>
      </c>
      <c r="B25" s="17" t="s">
        <v>12</v>
      </c>
      <c r="C25" s="17">
        <v>0</v>
      </c>
      <c r="D25" s="39">
        <v>0</v>
      </c>
      <c r="E25" s="36">
        <f>stock_harian!I325+stock_harian!I346+stock_harian!I367</f>
        <v>1</v>
      </c>
    </row>
    <row r="26" spans="1:5" x14ac:dyDescent="0.3">
      <c r="A26" s="16">
        <v>46154</v>
      </c>
      <c r="B26" s="17" t="s">
        <v>11</v>
      </c>
      <c r="C26" s="17">
        <v>0</v>
      </c>
      <c r="D26" s="39">
        <v>0</v>
      </c>
      <c r="E26" s="36">
        <f>stock_harian!I326+stock_harian!I347+stock_harian!I368</f>
        <v>2</v>
      </c>
    </row>
    <row r="27" spans="1:5" x14ac:dyDescent="0.3">
      <c r="A27" s="16">
        <v>46154</v>
      </c>
      <c r="B27" s="17" t="s">
        <v>14</v>
      </c>
      <c r="C27" s="17">
        <v>0</v>
      </c>
      <c r="D27" s="39">
        <v>0</v>
      </c>
      <c r="E27" s="36">
        <f>stock_harian!I327+stock_harian!I348+stock_harian!I369</f>
        <v>15</v>
      </c>
    </row>
    <row r="28" spans="1:5" x14ac:dyDescent="0.3">
      <c r="A28" s="16">
        <v>46154</v>
      </c>
      <c r="B28" s="17" t="s">
        <v>7</v>
      </c>
      <c r="C28" s="17">
        <v>15</v>
      </c>
      <c r="D28" s="39">
        <v>15</v>
      </c>
      <c r="E28" s="36">
        <f>stock_harian!I328+stock_harian!I349+stock_harian!I370</f>
        <v>6</v>
      </c>
    </row>
    <row r="29" spans="1:5" x14ac:dyDescent="0.3">
      <c r="A29" s="16">
        <v>46154</v>
      </c>
      <c r="B29" s="17" t="s">
        <v>8</v>
      </c>
      <c r="C29" s="17">
        <v>0</v>
      </c>
      <c r="D29" s="39">
        <v>0</v>
      </c>
      <c r="E29" s="36">
        <f>stock_harian!I329+stock_harian!I350+stock_harian!I371</f>
        <v>4</v>
      </c>
    </row>
    <row r="30" spans="1:5" x14ac:dyDescent="0.3">
      <c r="A30" s="16">
        <v>46154</v>
      </c>
      <c r="B30" s="17" t="s">
        <v>9</v>
      </c>
      <c r="C30" s="17">
        <v>0</v>
      </c>
      <c r="D30" s="39">
        <v>0</v>
      </c>
      <c r="E30" s="36">
        <f>stock_harian!I330+stock_harian!I351+stock_harian!I372</f>
        <v>8</v>
      </c>
    </row>
    <row r="31" spans="1:5" x14ac:dyDescent="0.3">
      <c r="A31" s="16">
        <v>46154</v>
      </c>
      <c r="B31" s="17" t="s">
        <v>63</v>
      </c>
      <c r="C31" s="17">
        <v>0</v>
      </c>
      <c r="D31" s="39">
        <v>15</v>
      </c>
      <c r="E31" s="36">
        <f>stock_harian!I331+stock_harian!I352+stock_harian!I373</f>
        <v>6</v>
      </c>
    </row>
    <row r="32" spans="1:5" x14ac:dyDescent="0.3">
      <c r="A32" s="16">
        <v>46154</v>
      </c>
      <c r="B32" s="17" t="s">
        <v>21</v>
      </c>
      <c r="C32" s="17">
        <v>0</v>
      </c>
      <c r="D32" s="39">
        <v>21</v>
      </c>
      <c r="E32" s="36">
        <f>stock_harian!I332+stock_harian!I353+stock_harian!I374</f>
        <v>12</v>
      </c>
    </row>
    <row r="33" spans="1:8" x14ac:dyDescent="0.3">
      <c r="A33" s="16">
        <v>46154</v>
      </c>
      <c r="B33" s="17" t="s">
        <v>19</v>
      </c>
      <c r="C33" s="17">
        <v>0</v>
      </c>
      <c r="D33" s="39">
        <v>0</v>
      </c>
      <c r="E33" s="36">
        <f>stock_harian!I333+stock_harian!I354+stock_harian!I375</f>
        <v>8</v>
      </c>
    </row>
    <row r="34" spans="1:8" x14ac:dyDescent="0.3">
      <c r="A34" s="16">
        <v>46154</v>
      </c>
      <c r="B34" s="17" t="s">
        <v>17</v>
      </c>
      <c r="C34" s="17">
        <v>0</v>
      </c>
      <c r="D34" s="39">
        <v>77</v>
      </c>
      <c r="E34" s="36">
        <f>stock_harian!I334+stock_harian!I355+stock_harian!I376</f>
        <v>30</v>
      </c>
    </row>
    <row r="35" spans="1:8" x14ac:dyDescent="0.3">
      <c r="A35" s="16">
        <v>46154</v>
      </c>
      <c r="B35" s="17" t="s">
        <v>5</v>
      </c>
      <c r="C35" s="17">
        <v>0</v>
      </c>
      <c r="D35" s="39">
        <v>65</v>
      </c>
      <c r="E35" s="36">
        <f>stock_harian!I335+stock_harian!I356+stock_harian!I377</f>
        <v>31</v>
      </c>
    </row>
    <row r="36" spans="1:8" x14ac:dyDescent="0.3">
      <c r="A36" s="16">
        <v>46154</v>
      </c>
      <c r="B36" s="17" t="s">
        <v>3</v>
      </c>
      <c r="C36" s="17">
        <v>0</v>
      </c>
      <c r="D36" s="39">
        <v>3</v>
      </c>
      <c r="E36" s="36">
        <f>stock_harian!I336+stock_harian!I357+stock_harian!I378</f>
        <v>45</v>
      </c>
    </row>
    <row r="37" spans="1:8" x14ac:dyDescent="0.3">
      <c r="A37" s="16">
        <v>46154</v>
      </c>
      <c r="B37" s="17" t="s">
        <v>18</v>
      </c>
      <c r="C37" s="17">
        <v>0</v>
      </c>
      <c r="D37" s="39">
        <v>11</v>
      </c>
      <c r="E37" s="36">
        <f>stock_harian!I337+stock_harian!I358+stock_harian!I379</f>
        <v>27</v>
      </c>
    </row>
    <row r="38" spans="1:8" x14ac:dyDescent="0.3">
      <c r="A38" s="16">
        <v>46154</v>
      </c>
      <c r="B38" s="17" t="s">
        <v>10</v>
      </c>
      <c r="C38" s="17">
        <v>0</v>
      </c>
      <c r="D38" s="39">
        <v>0</v>
      </c>
      <c r="E38" s="36">
        <f>stock_harian!I338+stock_harian!I359+stock_harian!I380</f>
        <v>10</v>
      </c>
    </row>
    <row r="39" spans="1:8" x14ac:dyDescent="0.3">
      <c r="A39" s="16">
        <v>46154</v>
      </c>
      <c r="B39" s="17" t="s">
        <v>23</v>
      </c>
      <c r="C39" s="17">
        <v>0</v>
      </c>
      <c r="D39" s="39">
        <v>12</v>
      </c>
      <c r="E39" s="36">
        <f>stock_harian!I339+stock_harian!I360+stock_harian!I381</f>
        <v>21</v>
      </c>
    </row>
    <row r="40" spans="1:8" x14ac:dyDescent="0.3">
      <c r="A40" s="16">
        <v>46154</v>
      </c>
      <c r="B40" s="17" t="s">
        <v>24</v>
      </c>
      <c r="C40" s="17">
        <v>0</v>
      </c>
      <c r="D40" s="39">
        <v>0</v>
      </c>
      <c r="E40" s="36">
        <f>stock_harian!I340+stock_harian!I361+stock_harian!I382</f>
        <v>12</v>
      </c>
    </row>
    <row r="41" spans="1:8" x14ac:dyDescent="0.3">
      <c r="A41" s="16">
        <v>46154</v>
      </c>
      <c r="B41" s="17" t="s">
        <v>15</v>
      </c>
      <c r="C41" s="17">
        <v>0</v>
      </c>
      <c r="D41" s="39">
        <v>0</v>
      </c>
      <c r="E41" s="36">
        <f>stock_harian!I341+stock_harian!I362+stock_harian!I383</f>
        <v>55</v>
      </c>
    </row>
    <row r="42" spans="1:8" x14ac:dyDescent="0.3">
      <c r="A42" s="16">
        <v>46154</v>
      </c>
      <c r="B42" s="17" t="s">
        <v>22</v>
      </c>
      <c r="C42" s="17">
        <v>0</v>
      </c>
      <c r="D42" s="39">
        <v>17</v>
      </c>
      <c r="E42" s="36">
        <f>stock_harian!I342+stock_harian!I363+stock_harian!I384</f>
        <v>22</v>
      </c>
    </row>
    <row r="43" spans="1:8" x14ac:dyDescent="0.3">
      <c r="A43" s="16">
        <v>46154</v>
      </c>
      <c r="B43" s="17" t="s">
        <v>64</v>
      </c>
      <c r="C43" s="17">
        <v>0</v>
      </c>
      <c r="D43" s="39">
        <v>0</v>
      </c>
      <c r="E43" s="36">
        <f>stock_harian!I343+stock_harian!I364+stock_harian!I385</f>
        <v>5</v>
      </c>
      <c r="G43" t="s">
        <v>65</v>
      </c>
    </row>
    <row r="44" spans="1:8" x14ac:dyDescent="0.3">
      <c r="A44" s="18">
        <v>46155</v>
      </c>
      <c r="B44" s="19" t="s">
        <v>4</v>
      </c>
      <c r="C44" s="19">
        <v>0</v>
      </c>
      <c r="D44" s="40">
        <f>D23-(stock_harian!J323+stock_harian!J344+stock_harian!J365)+C44</f>
        <v>0</v>
      </c>
      <c r="E44" s="36">
        <f>stock_harian!I386+stock_harian!I407+stock_harian!I428</f>
        <v>7</v>
      </c>
      <c r="G44" s="19" t="s">
        <v>4</v>
      </c>
      <c r="H44">
        <f t="shared" ref="H44:H64" si="0">D44+E44</f>
        <v>7</v>
      </c>
    </row>
    <row r="45" spans="1:8" x14ac:dyDescent="0.3">
      <c r="A45" s="18">
        <v>46155</v>
      </c>
      <c r="B45" s="19" t="s">
        <v>13</v>
      </c>
      <c r="C45" s="19">
        <v>0</v>
      </c>
      <c r="D45" s="40">
        <f>D24-(stock_harian!J324+stock_harian!J345+stock_harian!J366)+C45</f>
        <v>25</v>
      </c>
      <c r="E45" s="36">
        <f>stock_harian!I387+stock_harian!I408+stock_harian!I429</f>
        <v>18</v>
      </c>
      <c r="G45" s="19" t="s">
        <v>13</v>
      </c>
      <c r="H45">
        <f t="shared" si="0"/>
        <v>43</v>
      </c>
    </row>
    <row r="46" spans="1:8" x14ac:dyDescent="0.3">
      <c r="A46" s="18">
        <v>46155</v>
      </c>
      <c r="B46" s="19" t="s">
        <v>12</v>
      </c>
      <c r="C46" s="19">
        <v>0</v>
      </c>
      <c r="D46" s="40">
        <f>D25-(stock_harian!J325+stock_harian!J346+stock_harian!J367)+C46</f>
        <v>0</v>
      </c>
      <c r="E46" s="36">
        <f>stock_harian!I388+stock_harian!I409+stock_harian!I430</f>
        <v>2</v>
      </c>
      <c r="G46" s="19" t="s">
        <v>12</v>
      </c>
      <c r="H46">
        <f t="shared" si="0"/>
        <v>2</v>
      </c>
    </row>
    <row r="47" spans="1:8" x14ac:dyDescent="0.3">
      <c r="A47" s="18">
        <v>46155</v>
      </c>
      <c r="B47" s="19" t="s">
        <v>11</v>
      </c>
      <c r="C47" s="19">
        <v>0</v>
      </c>
      <c r="D47" s="40">
        <f>D26-(stock_harian!J326+stock_harian!J347+stock_harian!J368)+C47</f>
        <v>0</v>
      </c>
      <c r="E47" s="36">
        <f>stock_harian!I389+stock_harian!I410+stock_harian!I431</f>
        <v>4</v>
      </c>
      <c r="G47" s="19" t="s">
        <v>11</v>
      </c>
      <c r="H47">
        <f t="shared" si="0"/>
        <v>4</v>
      </c>
    </row>
    <row r="48" spans="1:8" x14ac:dyDescent="0.3">
      <c r="A48" s="18">
        <v>46155</v>
      </c>
      <c r="B48" s="19" t="s">
        <v>14</v>
      </c>
      <c r="C48" s="19">
        <v>7</v>
      </c>
      <c r="D48" s="40">
        <f>D27-(stock_harian!J327+stock_harian!J348+stock_harian!J369)+C48</f>
        <v>7</v>
      </c>
      <c r="E48" s="36">
        <f>stock_harian!I390+stock_harian!I411+stock_harian!I432</f>
        <v>4</v>
      </c>
      <c r="G48" s="19" t="s">
        <v>14</v>
      </c>
      <c r="H48">
        <f t="shared" si="0"/>
        <v>11</v>
      </c>
    </row>
    <row r="49" spans="1:8" x14ac:dyDescent="0.3">
      <c r="A49" s="18">
        <v>46155</v>
      </c>
      <c r="B49" s="19" t="s">
        <v>7</v>
      </c>
      <c r="C49" s="19">
        <v>0</v>
      </c>
      <c r="D49" s="40">
        <f>D28-(stock_harian!J328+stock_harian!J349+stock_harian!J370)+C49</f>
        <v>2</v>
      </c>
      <c r="E49" s="36">
        <f>stock_harian!I391+stock_harian!I412+stock_harian!I433</f>
        <v>18</v>
      </c>
      <c r="G49" s="19" t="s">
        <v>7</v>
      </c>
      <c r="H49">
        <f t="shared" si="0"/>
        <v>20</v>
      </c>
    </row>
    <row r="50" spans="1:8" x14ac:dyDescent="0.3">
      <c r="A50" s="18">
        <v>46155</v>
      </c>
      <c r="B50" s="19" t="s">
        <v>8</v>
      </c>
      <c r="C50" s="19">
        <v>0</v>
      </c>
      <c r="D50" s="40">
        <f>D29-(stock_harian!J329+stock_harian!J350+stock_harian!J371)+C50</f>
        <v>0</v>
      </c>
      <c r="E50" s="36">
        <f>stock_harian!I392+stock_harian!I413+stock_harian!I434</f>
        <v>6</v>
      </c>
      <c r="G50" s="19" t="s">
        <v>8</v>
      </c>
      <c r="H50">
        <f t="shared" si="0"/>
        <v>6</v>
      </c>
    </row>
    <row r="51" spans="1:8" x14ac:dyDescent="0.3">
      <c r="A51" s="18">
        <v>46155</v>
      </c>
      <c r="B51" s="19" t="s">
        <v>9</v>
      </c>
      <c r="C51" s="19">
        <v>0</v>
      </c>
      <c r="D51" s="40">
        <f>D30-(stock_harian!J330+stock_harian!J351+stock_harian!J372)+C51</f>
        <v>0</v>
      </c>
      <c r="E51" s="36">
        <f>stock_harian!I393+stock_harian!I414+stock_harian!I435</f>
        <v>3</v>
      </c>
      <c r="G51" s="19" t="s">
        <v>9</v>
      </c>
      <c r="H51">
        <f t="shared" si="0"/>
        <v>3</v>
      </c>
    </row>
    <row r="52" spans="1:8" x14ac:dyDescent="0.3">
      <c r="A52" s="18">
        <v>46155</v>
      </c>
      <c r="B52" s="19" t="s">
        <v>63</v>
      </c>
      <c r="C52" s="19">
        <v>0</v>
      </c>
      <c r="D52" s="40">
        <f>D31-(stock_harian!J331+stock_harian!J352+stock_harian!J373)+C52</f>
        <v>14</v>
      </c>
      <c r="E52" s="36">
        <f>stock_harian!I394+stock_harian!I415+stock_harian!I436</f>
        <v>6</v>
      </c>
      <c r="G52" s="19" t="s">
        <v>63</v>
      </c>
      <c r="H52">
        <f t="shared" si="0"/>
        <v>20</v>
      </c>
    </row>
    <row r="53" spans="1:8" x14ac:dyDescent="0.3">
      <c r="A53" s="18">
        <v>46155</v>
      </c>
      <c r="B53" s="19" t="s">
        <v>21</v>
      </c>
      <c r="C53" s="19">
        <v>0</v>
      </c>
      <c r="D53" s="40">
        <f>D32-(stock_harian!J332+stock_harian!J353+stock_harian!J374)+C53</f>
        <v>17</v>
      </c>
      <c r="E53" s="36">
        <f>stock_harian!I395+stock_harian!I416+stock_harian!I437</f>
        <v>12</v>
      </c>
      <c r="G53" s="19" t="s">
        <v>21</v>
      </c>
      <c r="H53">
        <f t="shared" si="0"/>
        <v>29</v>
      </c>
    </row>
    <row r="54" spans="1:8" x14ac:dyDescent="0.3">
      <c r="A54" s="18">
        <v>46155</v>
      </c>
      <c r="B54" s="19" t="s">
        <v>19</v>
      </c>
      <c r="C54" s="19">
        <v>0</v>
      </c>
      <c r="D54" s="40">
        <f>D33-(stock_harian!J333+stock_harian!J354+stock_harian!J375)+C54</f>
        <v>0</v>
      </c>
      <c r="E54" s="36">
        <f>stock_harian!I396+stock_harian!I417+stock_harian!I438</f>
        <v>5</v>
      </c>
      <c r="G54" s="19" t="s">
        <v>19</v>
      </c>
      <c r="H54">
        <f t="shared" si="0"/>
        <v>5</v>
      </c>
    </row>
    <row r="55" spans="1:8" x14ac:dyDescent="0.3">
      <c r="A55" s="18">
        <v>46155</v>
      </c>
      <c r="B55" s="19" t="s">
        <v>17</v>
      </c>
      <c r="C55" s="19">
        <v>0</v>
      </c>
      <c r="D55" s="40">
        <f>D34-(stock_harian!J334+stock_harian!J355+stock_harian!J376)+C55</f>
        <v>59</v>
      </c>
      <c r="E55" s="36">
        <f>stock_harian!I397+stock_harian!I418+stock_harian!I439</f>
        <v>30</v>
      </c>
      <c r="G55" s="19" t="s">
        <v>17</v>
      </c>
      <c r="H55">
        <f t="shared" si="0"/>
        <v>89</v>
      </c>
    </row>
    <row r="56" spans="1:8" x14ac:dyDescent="0.3">
      <c r="A56" s="18">
        <v>46155</v>
      </c>
      <c r="B56" s="19" t="s">
        <v>5</v>
      </c>
      <c r="C56" s="19">
        <v>0</v>
      </c>
      <c r="D56" s="40">
        <f>D35-(stock_harian!J335+stock_harian!J356+stock_harian!J377)+C56</f>
        <v>57</v>
      </c>
      <c r="E56" s="36">
        <f>stock_harian!I398+stock_harian!I419+stock_harian!I440</f>
        <v>30</v>
      </c>
      <c r="G56" s="19" t="s">
        <v>5</v>
      </c>
      <c r="H56">
        <f t="shared" si="0"/>
        <v>87</v>
      </c>
    </row>
    <row r="57" spans="1:8" x14ac:dyDescent="0.3">
      <c r="A57" s="18">
        <v>46155</v>
      </c>
      <c r="B57" s="19" t="s">
        <v>3</v>
      </c>
      <c r="C57" s="19">
        <v>20</v>
      </c>
      <c r="D57" s="40">
        <f>D36-(stock_harian!J336+stock_harian!J357+stock_harian!J378)+C57</f>
        <v>20</v>
      </c>
      <c r="E57" s="36">
        <f>stock_harian!I399+stock_harian!I420+stock_harian!I441</f>
        <v>41</v>
      </c>
      <c r="G57" s="19" t="s">
        <v>3</v>
      </c>
      <c r="H57">
        <f t="shared" si="0"/>
        <v>61</v>
      </c>
    </row>
    <row r="58" spans="1:8" x14ac:dyDescent="0.3">
      <c r="A58" s="18">
        <v>46155</v>
      </c>
      <c r="B58" s="19" t="s">
        <v>18</v>
      </c>
      <c r="C58" s="19">
        <v>20</v>
      </c>
      <c r="D58" s="40">
        <f>D37-(stock_harian!J337+stock_harian!J358+stock_harian!J379)+C58</f>
        <v>20</v>
      </c>
      <c r="E58" s="36">
        <f>stock_harian!I400+stock_harian!I421+stock_harian!I442</f>
        <v>26</v>
      </c>
      <c r="G58" s="19" t="s">
        <v>18</v>
      </c>
      <c r="H58">
        <f t="shared" si="0"/>
        <v>46</v>
      </c>
    </row>
    <row r="59" spans="1:8" x14ac:dyDescent="0.3">
      <c r="A59" s="18">
        <v>46155</v>
      </c>
      <c r="B59" s="19" t="s">
        <v>10</v>
      </c>
      <c r="C59" s="19">
        <v>0</v>
      </c>
      <c r="D59" s="40">
        <f>D38-(stock_harian!J338+stock_harian!J359+stock_harian!J380)+C59</f>
        <v>0</v>
      </c>
      <c r="E59" s="36">
        <f>stock_harian!I401+stock_harian!I422+stock_harian!I443</f>
        <v>13</v>
      </c>
      <c r="G59" s="19" t="s">
        <v>10</v>
      </c>
      <c r="H59">
        <f t="shared" si="0"/>
        <v>13</v>
      </c>
    </row>
    <row r="60" spans="1:8" x14ac:dyDescent="0.3">
      <c r="A60" s="18">
        <v>46155</v>
      </c>
      <c r="B60" s="19" t="s">
        <v>23</v>
      </c>
      <c r="C60" s="19">
        <v>0</v>
      </c>
      <c r="D60" s="40">
        <f>D39-(stock_harian!J339+stock_harian!J360+stock_harian!J381)+C60</f>
        <v>3</v>
      </c>
      <c r="E60" s="36">
        <f>stock_harian!I402+stock_harian!I423+stock_harian!I444</f>
        <v>24</v>
      </c>
      <c r="G60" s="19" t="s">
        <v>23</v>
      </c>
      <c r="H60">
        <f t="shared" si="0"/>
        <v>27</v>
      </c>
    </row>
    <row r="61" spans="1:8" x14ac:dyDescent="0.3">
      <c r="A61" s="18">
        <v>46155</v>
      </c>
      <c r="B61" s="19" t="s">
        <v>24</v>
      </c>
      <c r="C61" s="19">
        <v>0</v>
      </c>
      <c r="D61" s="40">
        <f>D40-(stock_harian!J340+stock_harian!J361+stock_harian!J382)+C61</f>
        <v>0</v>
      </c>
      <c r="E61" s="36">
        <f>stock_harian!I403+stock_harian!I424+stock_harian!I445</f>
        <v>10</v>
      </c>
      <c r="G61" s="19" t="s">
        <v>24</v>
      </c>
      <c r="H61">
        <f t="shared" si="0"/>
        <v>10</v>
      </c>
    </row>
    <row r="62" spans="1:8" x14ac:dyDescent="0.3">
      <c r="A62" s="18">
        <v>46155</v>
      </c>
      <c r="B62" s="19" t="s">
        <v>15</v>
      </c>
      <c r="C62" s="19">
        <v>0</v>
      </c>
      <c r="D62" s="40">
        <f>D41-(stock_harian!J341+stock_harian!J362+stock_harian!J383)+C62</f>
        <v>0</v>
      </c>
      <c r="E62" s="36">
        <f>stock_harian!I404+stock_harian!I425+stock_harian!I446</f>
        <v>36</v>
      </c>
      <c r="G62" s="19" t="s">
        <v>15</v>
      </c>
      <c r="H62">
        <f t="shared" si="0"/>
        <v>36</v>
      </c>
    </row>
    <row r="63" spans="1:8" x14ac:dyDescent="0.3">
      <c r="A63" s="18">
        <v>46155</v>
      </c>
      <c r="B63" s="19" t="s">
        <v>22</v>
      </c>
      <c r="C63" s="19">
        <v>0</v>
      </c>
      <c r="D63" s="40">
        <f>D42-(stock_harian!J342+stock_harian!J363+stock_harian!J384)+C63</f>
        <v>11</v>
      </c>
      <c r="E63" s="36">
        <f>stock_harian!I405+stock_harian!I426+stock_harian!I447</f>
        <v>24</v>
      </c>
      <c r="G63" s="19" t="s">
        <v>22</v>
      </c>
      <c r="H63">
        <f t="shared" si="0"/>
        <v>35</v>
      </c>
    </row>
    <row r="64" spans="1:8" x14ac:dyDescent="0.3">
      <c r="A64" s="18">
        <v>46155</v>
      </c>
      <c r="B64" s="19" t="s">
        <v>25</v>
      </c>
      <c r="C64" s="19">
        <v>0</v>
      </c>
      <c r="D64" s="40">
        <f>D43-(stock_harian!J343+stock_harian!J364+stock_harian!J385)+C64</f>
        <v>0</v>
      </c>
      <c r="E64" s="36">
        <f>stock_harian!I406+stock_harian!I427+stock_harian!I448</f>
        <v>3</v>
      </c>
      <c r="G64" s="19" t="s">
        <v>25</v>
      </c>
      <c r="H64">
        <f t="shared" si="0"/>
        <v>3</v>
      </c>
    </row>
    <row r="323" spans="8:8" x14ac:dyDescent="0.3">
      <c r="H323" t="s">
        <v>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E865-0ED2-4B8F-A1F6-A76284841263}">
  <dimension ref="A1:E22"/>
  <sheetViews>
    <sheetView workbookViewId="0">
      <selection activeCell="C1" sqref="C1:E2"/>
    </sheetView>
  </sheetViews>
  <sheetFormatPr defaultRowHeight="14.4" x14ac:dyDescent="0.3"/>
  <cols>
    <col min="2" max="2" width="25" bestFit="1" customWidth="1"/>
    <col min="3" max="3" width="12.88671875" bestFit="1" customWidth="1"/>
    <col min="4" max="4" width="10.5546875" bestFit="1" customWidth="1"/>
    <col min="5" max="5" width="12.109375" bestFit="1" customWidth="1"/>
  </cols>
  <sheetData>
    <row r="1" spans="1:5" ht="15.6" x14ac:dyDescent="0.3">
      <c r="A1" s="51" t="s">
        <v>26</v>
      </c>
      <c r="B1" s="52" t="s">
        <v>55</v>
      </c>
      <c r="C1" s="52" t="s">
        <v>62</v>
      </c>
      <c r="D1" s="52" t="s">
        <v>33</v>
      </c>
      <c r="E1" s="52" t="s">
        <v>67</v>
      </c>
    </row>
    <row r="2" spans="1:5" x14ac:dyDescent="0.3">
      <c r="A2" s="53">
        <v>46155</v>
      </c>
      <c r="B2" t="s">
        <v>4</v>
      </c>
      <c r="C2" s="54" t="e" cm="1" vm="1">
        <f t="array" aca="1" ref="C2" ca="1">SUMIFS(stock_harian!M:M,'Rekap Stock'!A:A,stock_harian!A:A,'Rekap Stock'!B:B,stock_harian!B:B)</f>
        <v>#VALUE!</v>
      </c>
    </row>
    <row r="3" spans="1:5" x14ac:dyDescent="0.3">
      <c r="A3" s="53">
        <v>46155</v>
      </c>
      <c r="B3" t="s">
        <v>13</v>
      </c>
      <c r="C3" t="e" cm="1" vm="1">
        <f t="array" aca="1" ref="C3" ca="1">SUMIFS(stock_harian!M:M,'Rekap Stock'!A:A,stock_harian!A:A,'Rekap Stock'!B:B,stock_harian!B:B)</f>
        <v>#VALUE!</v>
      </c>
    </row>
    <row r="4" spans="1:5" x14ac:dyDescent="0.3">
      <c r="A4" s="53">
        <v>46155</v>
      </c>
      <c r="B4" t="s">
        <v>12</v>
      </c>
      <c r="C4" t="e" cm="1" vm="1">
        <f t="array" aca="1" ref="C4" ca="1">SUMIFS(stock_harian!M:M,'Rekap Stock'!A:A,stock_harian!A:A,'Rekap Stock'!B:B,stock_harian!B:B)</f>
        <v>#VALUE!</v>
      </c>
    </row>
    <row r="5" spans="1:5" x14ac:dyDescent="0.3">
      <c r="A5" s="53">
        <v>46155</v>
      </c>
      <c r="B5" t="s">
        <v>11</v>
      </c>
      <c r="C5" t="e" cm="1" vm="1">
        <f t="array" aca="1" ref="C5" ca="1">SUMIFS(stock_harian!M:M,'Rekap Stock'!A:A,stock_harian!A:A,'Rekap Stock'!B:B,stock_harian!B:B)</f>
        <v>#VALUE!</v>
      </c>
    </row>
    <row r="6" spans="1:5" x14ac:dyDescent="0.3">
      <c r="A6" s="53">
        <v>46155</v>
      </c>
      <c r="B6" t="s">
        <v>14</v>
      </c>
      <c r="C6" t="e" cm="1" vm="1">
        <f t="array" aca="1" ref="C6" ca="1">SUMIFS(stock_harian!M:M,'Rekap Stock'!A:A,stock_harian!A:A,'Rekap Stock'!B:B,stock_harian!B:B)</f>
        <v>#VALUE!</v>
      </c>
    </row>
    <row r="7" spans="1:5" x14ac:dyDescent="0.3">
      <c r="A7" s="53">
        <v>46155</v>
      </c>
      <c r="B7" t="s">
        <v>7</v>
      </c>
      <c r="C7" t="e" cm="1" vm="1">
        <f t="array" aca="1" ref="C7" ca="1">SUMIFS(stock_harian!M:M,'Rekap Stock'!A:A,stock_harian!A:A,'Rekap Stock'!B:B,stock_harian!B:B)</f>
        <v>#VALUE!</v>
      </c>
    </row>
    <row r="8" spans="1:5" x14ac:dyDescent="0.3">
      <c r="A8" s="53">
        <v>46155</v>
      </c>
      <c r="B8" t="s">
        <v>8</v>
      </c>
      <c r="C8" t="e" cm="1" vm="1">
        <f t="array" aca="1" ref="C8" ca="1">SUMIFS(stock_harian!M:M,'Rekap Stock'!A:A,stock_harian!A:A,'Rekap Stock'!B:B,stock_harian!B:B)</f>
        <v>#VALUE!</v>
      </c>
    </row>
    <row r="9" spans="1:5" x14ac:dyDescent="0.3">
      <c r="A9" s="53">
        <v>46155</v>
      </c>
      <c r="B9" t="s">
        <v>9</v>
      </c>
      <c r="C9" t="e" cm="1" vm="1">
        <f t="array" aca="1" ref="C9" ca="1">SUMIFS(stock_harian!M:M,'Rekap Stock'!A:A,stock_harian!A:A,'Rekap Stock'!B:B,stock_harian!B:B)</f>
        <v>#VALUE!</v>
      </c>
    </row>
    <row r="10" spans="1:5" x14ac:dyDescent="0.3">
      <c r="A10" s="53">
        <v>46155</v>
      </c>
      <c r="B10" t="s">
        <v>20</v>
      </c>
      <c r="C10" t="e" cm="1" vm="1">
        <f t="array" aca="1" ref="C10" ca="1">SUMIFS(stock_harian!M:M,'Rekap Stock'!A:A,stock_harian!A:A,'Rekap Stock'!B:B,stock_harian!B:B)</f>
        <v>#VALUE!</v>
      </c>
    </row>
    <row r="11" spans="1:5" x14ac:dyDescent="0.3">
      <c r="A11" s="53">
        <v>46155</v>
      </c>
      <c r="B11" t="s">
        <v>21</v>
      </c>
      <c r="C11" t="e" cm="1" vm="1">
        <f t="array" aca="1" ref="C11" ca="1">SUMIFS(stock_harian!M:M,'Rekap Stock'!A:A,stock_harian!A:A,'Rekap Stock'!B:B,stock_harian!B:B)</f>
        <v>#VALUE!</v>
      </c>
    </row>
    <row r="12" spans="1:5" x14ac:dyDescent="0.3">
      <c r="A12" s="53">
        <v>46155</v>
      </c>
      <c r="B12" t="s">
        <v>19</v>
      </c>
      <c r="C12" t="e" cm="1" vm="1">
        <f t="array" aca="1" ref="C12" ca="1">SUMIFS(stock_harian!M:M,'Rekap Stock'!A:A,stock_harian!A:A,'Rekap Stock'!B:B,stock_harian!B:B)</f>
        <v>#VALUE!</v>
      </c>
    </row>
    <row r="13" spans="1:5" x14ac:dyDescent="0.3">
      <c r="A13" s="53">
        <v>46155</v>
      </c>
      <c r="B13" t="s">
        <v>17</v>
      </c>
      <c r="C13" t="e" cm="1" vm="1">
        <f t="array" aca="1" ref="C13" ca="1">SUMIFS(stock_harian!M:M,'Rekap Stock'!A:A,stock_harian!A:A,'Rekap Stock'!B:B,stock_harian!B:B)</f>
        <v>#VALUE!</v>
      </c>
    </row>
    <row r="14" spans="1:5" x14ac:dyDescent="0.3">
      <c r="A14" s="53">
        <v>46155</v>
      </c>
      <c r="B14" t="s">
        <v>5</v>
      </c>
      <c r="C14" t="e" cm="1" vm="1">
        <f t="array" aca="1" ref="C14" ca="1">SUMIFS(stock_harian!M:M,'Rekap Stock'!A:A,stock_harian!A:A,'Rekap Stock'!B:B,stock_harian!B:B)</f>
        <v>#VALUE!</v>
      </c>
    </row>
    <row r="15" spans="1:5" x14ac:dyDescent="0.3">
      <c r="A15" s="53">
        <v>46155</v>
      </c>
      <c r="B15" t="s">
        <v>3</v>
      </c>
      <c r="C15" t="e" cm="1" vm="1">
        <f t="array" aca="1" ref="C15" ca="1">SUMIFS(stock_harian!M:M,'Rekap Stock'!A:A,stock_harian!A:A,'Rekap Stock'!B:B,stock_harian!B:B)</f>
        <v>#VALUE!</v>
      </c>
    </row>
    <row r="16" spans="1:5" x14ac:dyDescent="0.3">
      <c r="A16" s="53">
        <v>46155</v>
      </c>
      <c r="B16" t="s">
        <v>18</v>
      </c>
      <c r="C16" t="e" cm="1" vm="1">
        <f t="array" aca="1" ref="C16" ca="1">SUMIFS(stock_harian!M:M,'Rekap Stock'!A:A,stock_harian!A:A,'Rekap Stock'!B:B,stock_harian!B:B)</f>
        <v>#VALUE!</v>
      </c>
    </row>
    <row r="17" spans="1:3" x14ac:dyDescent="0.3">
      <c r="A17" s="53">
        <v>46155</v>
      </c>
      <c r="B17" t="s">
        <v>10</v>
      </c>
      <c r="C17" t="e" cm="1" vm="1">
        <f t="array" aca="1" ref="C17" ca="1">SUMIFS(stock_harian!M:M,'Rekap Stock'!A:A,stock_harian!A:A,'Rekap Stock'!B:B,stock_harian!B:B)</f>
        <v>#VALUE!</v>
      </c>
    </row>
    <row r="18" spans="1:3" x14ac:dyDescent="0.3">
      <c r="A18" s="53">
        <v>46155</v>
      </c>
      <c r="B18" t="s">
        <v>23</v>
      </c>
      <c r="C18" t="e" cm="1" vm="1">
        <f t="array" aca="1" ref="C18" ca="1">SUMIFS(stock_harian!M:M,'Rekap Stock'!A:A,stock_harian!A:A,'Rekap Stock'!B:B,stock_harian!B:B)</f>
        <v>#VALUE!</v>
      </c>
    </row>
    <row r="19" spans="1:3" x14ac:dyDescent="0.3">
      <c r="A19" s="53">
        <v>46155</v>
      </c>
      <c r="B19" t="s">
        <v>24</v>
      </c>
      <c r="C19" t="e" cm="1" vm="1">
        <f t="array" aca="1" ref="C19" ca="1">SUMIFS(stock_harian!M:M,'Rekap Stock'!A:A,stock_harian!A:A,'Rekap Stock'!B:B,stock_harian!B:B)</f>
        <v>#VALUE!</v>
      </c>
    </row>
    <row r="20" spans="1:3" x14ac:dyDescent="0.3">
      <c r="A20" s="53">
        <v>46155</v>
      </c>
      <c r="B20" t="s">
        <v>15</v>
      </c>
      <c r="C20" t="e" cm="1" vm="1">
        <f t="array" aca="1" ref="C20" ca="1">SUMIFS(stock_harian!M:M,'Rekap Stock'!A:A,stock_harian!A:A,'Rekap Stock'!B:B,stock_harian!B:B)</f>
        <v>#VALUE!</v>
      </c>
    </row>
    <row r="21" spans="1:3" x14ac:dyDescent="0.3">
      <c r="A21" s="53">
        <v>46155</v>
      </c>
      <c r="B21" t="s">
        <v>22</v>
      </c>
      <c r="C21" t="e" cm="1" vm="1">
        <f t="array" aca="1" ref="C21" ca="1">SUMIFS(stock_harian!M:M,'Rekap Stock'!A:A,stock_harian!A:A,'Rekap Stock'!B:B,stock_harian!B:B)</f>
        <v>#VALUE!</v>
      </c>
    </row>
    <row r="22" spans="1:3" x14ac:dyDescent="0.3">
      <c r="A22" s="53">
        <v>46155</v>
      </c>
      <c r="B22" t="s">
        <v>25</v>
      </c>
      <c r="C22" t="e" cm="1" vm="1">
        <f t="array" aca="1" ref="C22" ca="1">SUMIFS(stock_harian!M:M,'Rekap Stock'!A:A,stock_harian!A:A,'Rekap Stock'!B:B,stock_harian!B:B)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Total Item Terjual</vt:lpstr>
      <vt:lpstr>stock_harian</vt:lpstr>
      <vt:lpstr>karyawan</vt:lpstr>
      <vt:lpstr>lantai3</vt:lpstr>
      <vt:lpstr>lantai8</vt:lpstr>
      <vt:lpstr>lantai9</vt:lpstr>
      <vt:lpstr>Inventory</vt:lpstr>
      <vt:lpstr>Rekap Stock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Andi Farras Thariq Hasibuan</dc:creator>
  <cp:keywords/>
  <dc:description/>
  <cp:lastModifiedBy>Andi Farras Thariq Hasibuan</cp:lastModifiedBy>
  <cp:revision/>
  <dcterms:created xsi:type="dcterms:W3CDTF">2026-05-12T04:54:52Z</dcterms:created>
  <dcterms:modified xsi:type="dcterms:W3CDTF">2026-05-19T08:47:34Z</dcterms:modified>
  <cp:category/>
  <cp:contentStatus/>
</cp:coreProperties>
</file>